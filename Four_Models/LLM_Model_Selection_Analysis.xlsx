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bfb03a358f142cf" /></Relationships>
</file>

<file path=xl/workbook.xml><?xml version="1.0" encoding="utf-8"?>
<x:workbook xmlns:x="http://schemas.openxmlformats.org/spreadsheetml/2006/main">
  <x:sheets>
    <x:sheet xmlns:r="http://schemas.openxmlformats.org/officeDocument/2006/relationships" name="01_Executive_Summary" sheetId="1" r:id="Re32e02f2a460478a"/>
    <x:sheet xmlns:r="http://schemas.openxmlformats.org/officeDocument/2006/relationships" name="Raw_ModelComparison" sheetId="2" r:id="R90d0d153e82f4be9"/>
    <x:sheet xmlns:r="http://schemas.openxmlformats.org/officeDocument/2006/relationships" name="Raw_Main" sheetId="3" r:id="R80f78bab0f9d4308"/>
    <x:sheet xmlns:r="http://schemas.openxmlformats.org/officeDocument/2006/relationships" name="Raw_Repeatability" sheetId="4" r:id="R96b365dac1d944e6"/>
    <x:sheet xmlns:r="http://schemas.openxmlformats.org/officeDocument/2006/relationships" name="02_Model_Performance" sheetId="5" r:id="Ra5ef511f15464f49"/>
    <x:sheet xmlns:r="http://schemas.openxmlformats.org/officeDocument/2006/relationships" name="03_TFIDF_Reranking" sheetId="6" r:id="R7219d71cffb245e4"/>
    <x:sheet xmlns:r="http://schemas.openxmlformats.org/officeDocument/2006/relationships" name="04_Match_Type" sheetId="7" r:id="Rb0dca7eb28ee45c6"/>
    <x:sheet xmlns:r="http://schemas.openxmlformats.org/officeDocument/2006/relationships" name="05_Reliability_Repeat" sheetId="8" r:id="R6858f381d2ea4634"/>
    <x:sheet xmlns:r="http://schemas.openxmlformats.org/officeDocument/2006/relationships" name="06_Statistics" sheetId="9" r:id="Rccaee1df19894592"/>
    <x:sheet xmlns:r="http://schemas.openxmlformats.org/officeDocument/2006/relationships" name="07_Per_Material" sheetId="10" r:id="R10c0aadb61f4424c"/>
    <x:sheet xmlns:r="http://schemas.openxmlformats.org/officeDocument/2006/relationships" name="08_Error_Analysis" sheetId="11" r:id="R18e51bd1708746ab"/>
    <x:sheet xmlns:r="http://schemas.openxmlformats.org/officeDocument/2006/relationships" name="09_Metadata_Audit" sheetId="12" r:id="Re6ea9d12e18e4a22"/>
    <x:sheet xmlns:r="http://schemas.openxmlformats.org/officeDocument/2006/relationships" name="10_Calculation_Guide" sheetId="13" r:id="R14b08129ce35475e"/>
    <x:sheet xmlns:r="http://schemas.openxmlformats.org/officeDocument/2006/relationships" name="11_Paper_Table" sheetId="14" r:id="R909ca9bb11e6403e"/>
    <x:sheet xmlns:r="http://schemas.openxmlformats.org/officeDocument/2006/relationships" name="12_Paper_Figures" sheetId="15" r:id="Re7d67bb6dced42f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 &quot;pp&quot;"/>
    <x:numFmt numFmtId="203" formatCode="0.0000"/>
    <x:numFmt numFmtId="204" formatCode="0.000000"/>
  </x:numFmts>
  <x:fonts count="7">
    <x:font>
      <x:sz val="11"/>
      <x:name val="Carlito"/>
    </x:font>
    <x:font>
      <x:b/>
      <x:sz val="15"/>
      <x:color rgb="FFFFFFFF"/>
      <x:name val="Carlito"/>
    </x:font>
    <x:font>
      <x:i/>
      <x:sz val="11"/>
      <x:color rgb="FF44546A"/>
      <x:name val="Carlito"/>
    </x:font>
    <x:font>
      <x:b/>
      <x:sz val="12"/>
      <x:name val="Carlito"/>
    </x:font>
    <x:font>
      <x:b/>
      <x:sz val="11"/>
      <x:color rgb="FF1F1F1F"/>
      <x:name val="Carlito"/>
    </x:font>
    <x:font>
      <x:b/>
      <x:sz val="11"/>
      <x:name val="Carlito"/>
    </x:font>
    <x:font>
      <x:b/>
      <x:sz val="11"/>
      <x:color rgb="FFFFFFFF"/>
      <x:name val="Carlito"/>
    </x:font>
  </x:fonts>
  <x:fills count="9">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E2F0D9"/>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EAF7"/>
      </x:patternFill>
    </x:fill>
  </x:fills>
  <x:borders count="2">
    <x:border/>
    <x:border/>
  </x:borders>
  <x:cellStyleXfs count="1">
    <x:xf numFmtId="0" fontId="0" fillId="0" borderId="0"/>
  </x:cellStyleXfs>
  <x:cellXfs count="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vertical="center"/>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vertical="center"/>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0" xfId="0" applyNumberFormat="1" applyFont="1" applyFill="1" applyBorder="1"/>
    <x:xf numFmtId="203" fontId="0" fillId="0" borderId="1" xfId="0" applyNumberFormat="1" applyFont="1" applyFill="1" applyBorder="1"/>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204" fontId="0" fillId="0" borderId="0" xfId="0" applyNumberFormat="1" applyFont="1" applyFill="1" applyBorder="1"/>
    <x:xf numFmtId="204" fontId="0" fillId="0" borderId="1" xfId="0" applyNumberFormat="1" applyFont="1" applyFill="1" applyBorder="1"/>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4" fillId="8" borderId="0" xfId="0" applyNumberFormat="1" applyFont="1" applyFill="1" applyBorder="1" applyAlignment="1">
      <x:alignment horizontal="center"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e49f2368014bba" /><Relationship Type="http://schemas.openxmlformats.org/officeDocument/2006/relationships/theme" Target="/xl/theme/theme1.xml" Id="R80904a1053524ea3" /><Relationship Type="http://schemas.microsoft.com/office/2022/11/relationships/FeaturePropertyBag" Target="/xl/featurePropertyBag/featurePropertyBag.xml" Id="Ra2dcdee896934b19" /><Relationship Type="http://schemas.openxmlformats.org/officeDocument/2006/relationships/sharedStrings" Target="/xl/sharedStrings.xml" Id="R9ab9acd20dee44c8" /><Relationship Type="http://schemas.openxmlformats.org/officeDocument/2006/relationships/worksheet" Target="/xl/worksheets/sheet1.xml" Id="Re32e02f2a460478a" /><Relationship Type="http://schemas.openxmlformats.org/officeDocument/2006/relationships/worksheet" Target="/xl/worksheets/sheet2.xml" Id="R90d0d153e82f4be9" /><Relationship Type="http://schemas.openxmlformats.org/officeDocument/2006/relationships/worksheet" Target="/xl/worksheets/sheet3.xml" Id="R80f78bab0f9d4308" /><Relationship Type="http://schemas.openxmlformats.org/officeDocument/2006/relationships/worksheet" Target="/xl/worksheets/sheet4.xml" Id="R96b365dac1d944e6" /><Relationship Type="http://schemas.openxmlformats.org/officeDocument/2006/relationships/worksheet" Target="/xl/worksheets/sheet5.xml" Id="Ra5ef511f15464f49" /><Relationship Type="http://schemas.openxmlformats.org/officeDocument/2006/relationships/worksheet" Target="/xl/worksheets/sheet6.xml" Id="R7219d71cffb245e4" /><Relationship Type="http://schemas.openxmlformats.org/officeDocument/2006/relationships/worksheet" Target="/xl/worksheets/sheet7.xml" Id="Rb0dca7eb28ee45c6" /><Relationship Type="http://schemas.openxmlformats.org/officeDocument/2006/relationships/worksheet" Target="/xl/worksheets/sheet8.xml" Id="R6858f381d2ea4634" /><Relationship Type="http://schemas.openxmlformats.org/officeDocument/2006/relationships/worksheet" Target="/xl/worksheets/sheet9.xml" Id="Rccaee1df19894592" /><Relationship Type="http://schemas.openxmlformats.org/officeDocument/2006/relationships/worksheet" Target="/xl/worksheets/sheet10.xml" Id="R10c0aadb61f4424c" /><Relationship Type="http://schemas.openxmlformats.org/officeDocument/2006/relationships/worksheet" Target="/xl/worksheets/sheet11.xml" Id="R18e51bd1708746ab" /><Relationship Type="http://schemas.openxmlformats.org/officeDocument/2006/relationships/worksheet" Target="/xl/worksheets/sheet12.xml" Id="Re6ea9d12e18e4a22" /><Relationship Type="http://schemas.openxmlformats.org/officeDocument/2006/relationships/worksheet" Target="/xl/worksheets/sheet13.xml" Id="R14b08129ce35475e" /><Relationship Type="http://schemas.openxmlformats.org/officeDocument/2006/relationships/worksheet" Target="/xl/worksheets/sheet14.xml" Id="R909ca9bb11e6403e" /><Relationship Type="http://schemas.openxmlformats.org/officeDocument/2006/relationships/worksheet" Target="/xl/worksheets/sheet15.xml" Id="Re7d67bb6dced42f4" /></Relationships>
</file>

<file path=xl/drawings/_rels/drawing1.xml.rels>&#65279;<?xml version="1.0" encoding="utf-8"?><Relationships xmlns="http://schemas.openxmlformats.org/package/2006/relationships"><Relationship Type="http://schemas.openxmlformats.org/officeDocument/2006/relationships/chart" Target="/xl/drawings/charts/chart1.xml" Id="R33f8e7c0ef6147dc" /><Relationship Type="http://schemas.openxmlformats.org/officeDocument/2006/relationships/chart" Target="/xl/drawings/charts/chart2.xml" Id="R0e749b67487c4ffd" /><Relationship Type="http://schemas.openxmlformats.org/officeDocument/2006/relationships/chart" Target="/xl/drawings/charts/chart3.xml" Id="Rbe0ae8d3d52e478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Exact process selection: TF-IDF baseline vs LLMs</a:t>
            </a:r>
          </a:p>
        </c:rich>
      </c:tx>
    </c:title>
    <c:plotArea>
      <c:barChart>
        <c:barDir val="col"/>
        <c:grouping val="clustered"/>
        <c:varyColors val="0"/>
        <c:ser>
          <c:idx val="0"/>
          <c:order val="0"/>
          <c:tx>
            <c:v>Exact process selection</c:v>
          </c:tx>
          <c:cat>
            <c:strRef>
              <c:f>'12_Paper_Figures'!$A$5:$A$9</c:f>
              <c:strCache>
                <c:ptCount val="0"/>
              </c:strCache>
            </c:strRef>
          </c:cat>
          <c:val>
            <c:numRef>
              <c:f>'12_Paper_Figures'!$B$5:$B$9</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Core performance dimensions</a:t>
            </a:r>
          </a:p>
        </c:rich>
      </c:tx>
    </c:title>
    <c:plotArea>
      <c:barChart>
        <c:barDir val="col"/>
        <c:grouping val="clustered"/>
        <c:varyColors val="0"/>
        <c:ser>
          <c:idx val="0"/>
          <c:order val="0"/>
          <c:tx>
            <c:v>Conditional process</c:v>
          </c:tx>
          <c:cat>
            <c:strRef>
              <c:f>'12_Paper_Figures'!$A$24:$A$27</c:f>
              <c:strCache>
                <c:ptCount val="0"/>
              </c:strCache>
            </c:strRef>
          </c:cat>
          <c:val>
            <c:numRef>
              <c:f>'12_Paper_Figures'!$B$24:$B$27</c:f>
              <c:numCache>
                <c:formatCode>0.0%</c:formatCode>
                <c:ptCount val="0"/>
              </c:numCache>
            </c:numRef>
          </c:val>
        </c:ser>
        <c:ser>
          <c:idx val="1"/>
          <c:order val="1"/>
          <c:tx>
            <c:v>Match type</c:v>
          </c:tx>
          <c:cat>
            <c:strRef>
              <c:f>'12_Paper_Figures'!$A$24:$A$27</c:f>
              <c:strCache>
                <c:ptCount val="0"/>
              </c:strCache>
            </c:strRef>
          </c:cat>
          <c:val>
            <c:numRef>
              <c:f>'12_Paper_Figures'!$C$24:$C$27</c:f>
              <c:numCache>
                <c:formatCode>0.0%</c:formatCode>
                <c:ptCount val="0"/>
              </c:numCache>
            </c:numRef>
          </c:val>
        </c:ser>
        <c:ser>
          <c:idx val="2"/>
          <c:order val="2"/>
          <c:tx>
            <c:v>Review Required F1</c:v>
          </c:tx>
          <c:cat>
            <c:strRef>
              <c:f>'12_Paper_Figures'!$A$24:$A$27</c:f>
              <c:strCache>
                <c:ptCount val="0"/>
              </c:strCache>
            </c:strRef>
          </c:cat>
          <c:val>
            <c:numRef>
              <c:f>'12_Paper_Figures'!$D$24:$D$27</c:f>
              <c:numCache>
                <c:formatCode>0.0%</c:formatCode>
                <c:ptCount val="0"/>
              </c:numCache>
            </c:numRef>
          </c:val>
        </c:ser>
        <c:ser>
          <c:idx val="3"/>
          <c:order val="3"/>
          <c:tx>
            <c:v>Full-reference</c:v>
          </c:tx>
          <c:cat>
            <c:strRef>
              <c:f>'12_Paper_Figures'!$A$24:$A$27</c:f>
              <c:strCache>
                <c:ptCount val="0"/>
              </c:strCache>
            </c:strRef>
          </c:cat>
          <c:val>
            <c:numRef>
              <c:f>'12_Paper_Figures'!$E$24:$E$27</c:f>
              <c:numCache>
                <c:formatCode>0.0%</c:formatCode>
                <c:ptCount val="0"/>
              </c:numCache>
            </c:numRef>
          </c:val>
        </c:ser>
        <c:ser>
          <c:idx val="4"/>
          <c:order val="4"/>
          <c:tx>
            <c:v>Structured valid</c:v>
          </c:tx>
          <c:cat>
            <c:strRef>
              <c:f>'12_Paper_Figures'!$A$24:$A$27</c:f>
              <c:strCache>
                <c:ptCount val="0"/>
              </c:strCache>
            </c:strRef>
          </c:cat>
          <c:val>
            <c:numRef>
              <c:f>'12_Paper_Figures'!$F$24:$F$27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Preservation of correct retrieval and reranking rescue</a:t>
            </a:r>
          </a:p>
        </c:rich>
      </c:tx>
    </c:title>
    <c:plotArea>
      <c:barChart>
        <c:barDir val="col"/>
        <c:grouping val="clustered"/>
        <c:varyColors val="0"/>
        <c:ser>
          <c:idx val="0"/>
          <c:order val="0"/>
          <c:tx>
            <c:v>Preservation</c:v>
          </c:tx>
          <c:cat>
            <c:strRef>
              <c:f>'12_Paper_Figures'!$A$47:$A$50</c:f>
              <c:strCache>
                <c:ptCount val="0"/>
              </c:strCache>
            </c:strRef>
          </c:cat>
          <c:val>
            <c:numRef>
              <c:f>'12_Paper_Figures'!$B$47:$B$50</c:f>
              <c:numCache>
                <c:formatCode>0.0%</c:formatCode>
                <c:ptCount val="0"/>
              </c:numCache>
            </c:numRef>
          </c:val>
        </c:ser>
        <c:ser>
          <c:idx val="1"/>
          <c:order val="1"/>
          <c:tx>
            <c:v>Rescue</c:v>
          </c:tx>
          <c:cat>
            <c:strRef>
              <c:f>'12_Paper_Figures'!$A$47:$A$50</c:f>
              <c:strCache>
                <c:ptCount val="0"/>
              </c:strCache>
            </c:strRef>
          </c:cat>
          <c:val>
            <c:numRef>
              <c:f>'12_Paper_Figures'!$C$47:$C$50</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f8e7c0ef6147dc"/>
        </a:graphicData>
      </a:graphic>
    </xdr:graphicFrame>
    <xdr:clientData/>
  </xdr:twoCellAnchor>
  <xdr:twoCellAnchor>
    <xdr:from>
      <xdr:col>7</xdr:col>
      <xdr:colOff>0</xdr:colOff>
      <xdr:row>22</xdr:row>
      <xdr:rowOff>0</xdr:rowOff>
    </xdr:from>
    <xdr:to>
      <xdr:col>14</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749b67487c4ffd"/>
        </a:graphicData>
      </a:graphic>
    </xdr:graphicFrame>
    <xdr:clientData/>
  </xdr:twoCellAnchor>
  <xdr:twoCellAnchor>
    <xdr:from>
      <xdr:col>4</xdr:col>
      <xdr:colOff>0</xdr:colOff>
      <xdr:row>45</xdr:row>
      <xdr:rowOff>0</xdr:rowOff>
    </xdr:from>
    <xdr:to>
      <xdr:col>14</xdr:col>
      <xdr:colOff>0</xdr:colOff>
      <xdr:row>64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0ae8d3d52e478d"/>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drawing" Target="/xl/drawings/drawing1.xml" Id="R60ddd8b8911f4fb3" /></Relationships>
</file>

<file path=xl/worksheets/sheet1.xml><?xml version="1.0" encoding="utf-8"?>
<x:worksheet xmlns:x="http://schemas.openxmlformats.org/spreadsheetml/2006/main">
  <x:sheetFormatPr defaultRowHeight="15"/>
  <x:cols>
    <x:col min="1" max="1" width="28" hidden="0" customWidth="1"/>
    <x:col min="2" max="2" width="18" hidden="0" customWidth="1"/>
    <x:col min="3" max="3" width="20" hidden="0" customWidth="1"/>
    <x:col min="4" max="4" width="5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6" customHeight="1">
      <x:c r="A1" s="4" t="str">
        <x:v>Four-Model Benchmark — Final Selection Summary</x:v>
      </x:c>
      <x:c r="B1" s="4"/>
      <x:c r="C1" s="4"/>
      <x:c r="D1" s="4"/>
      <x:c r="E1" s="4"/>
      <x:c r="F1" s="4"/>
      <x:c r="G1" s="4"/>
      <x:c r="H1" s="4"/>
      <x:c r="I1" s="4"/>
      <x:c r="J1" s="4"/>
      <x:c r="K1" s="4"/>
    </x:row>
    <x:row r="2" ht="32" customHeight="1">
      <x:c r="A2" s="10" t="str">
        <x:v>Controlled benchmark of Llama, Qwen, DeepSeek, and Mistral for material normalization and ELCD process matching. No arbitrary weighted composite score is used.</x:v>
      </x:c>
      <x:c r="B2" s="10"/>
      <x:c r="C2" s="10"/>
      <x:c r="D2" s="10"/>
      <x:c r="E2" s="10"/>
      <x:c r="F2" s="10"/>
      <x:c r="G2" s="10"/>
      <x:c r="H2" s="10"/>
      <x:c r="I2" s="10"/>
      <x:c r="J2" s="10"/>
      <x:c r="K2" s="10"/>
    </x:row>
    <x:row r="4">
      <x:c r="A4" s="15" t="str">
        <x:v>Recommended model</x:v>
      </x:c>
      <x:c r="B4" s="15" t="str">
        <x:v>Qwen2.5 7B Instruct</x:v>
      </x:c>
    </x:row>
    <x:row r="6">
      <x:c r="A6" s="22" t="str">
        <x:v>Evidence</x:v>
      </x:c>
      <x:c r="B6" s="22" t="str">
        <x:v>Qwen result</x:v>
      </x:c>
      <x:c r="C6" s="22" t="str">
        <x:v>Best comparator</x:v>
      </x:c>
      <x:c r="D6" s="22" t="str">
        <x:v>Interpretation</x:v>
      </x:c>
    </x:row>
    <x:row r="7">
      <x:c r="A7" s="30" t="str">
        <x:v>TF-IDF Top-1 baseline</x:v>
      </x:c>
      <x:c r="B7" s="28" t="str">
        <x:v>39.3%</x:v>
      </x:c>
      <x:c r="C7" s="28" t="str">
        <x:v>—</x:v>
      </x:c>
      <x:c r="D7" s="28" t="str">
        <x:v>Deterministic lexical baseline: 11/28 matched items.</x:v>
      </x:c>
    </x:row>
    <x:row r="8">
      <x:c r="A8" s="30" t="str">
        <x:v>Exact process selection</x:v>
      </x:c>
      <x:c r="B8" s="28" t="str">
        <x:v>67.9%</x:v>
      </x:c>
      <x:c r="C8" s="28" t="str">
        <x:v>Mistral 57.1%</x:v>
      </x:c>
      <x:c r="D8" s="28" t="str">
        <x:v>19/28 exact expert UUID selections; +28.6 percentage points over TF-IDF.</x:v>
      </x:c>
    </x:row>
    <x:row r="9">
      <x:c r="A9" s="30" t="str">
        <x:v>Conditional process selection</x:v>
      </x:c>
      <x:c r="B9" s="28" t="str">
        <x:v>90.5%</x:v>
      </x:c>
      <x:c r="C9" s="28" t="str">
        <x:v>Mistral 76.2%</x:v>
      </x:c>
      <x:c r="D9" s="28" t="str">
        <x:v>19/21 when the expert process was available in Top-5.</x:v>
      </x:c>
    </x:row>
    <x:row r="10">
      <x:c r="A10" s="30" t="str">
        <x:v>TF-IDF preservation</x:v>
      </x:c>
      <x:c r="B10" s="28" t="str">
        <x:v>90.9%</x:v>
      </x:c>
      <x:c r="C10" s="28" t="str">
        <x:v>—</x:v>
      </x:c>
      <x:c r="D10" s="28" t="str">
        <x:v>Preserved 10/11 cases that TF-IDF already ranked correctly.</x:v>
      </x:c>
    </x:row>
    <x:row r="11">
      <x:c r="A11" s="30" t="str">
        <x:v>Reranking rescue</x:v>
      </x:c>
      <x:c r="B11" s="28" t="str">
        <x:v>90.0%</x:v>
      </x:c>
      <x:c r="C11" s="28" t="str">
        <x:v>Mistral 90.0%</x:v>
      </x:c>
      <x:c r="D11" s="28" t="str">
        <x:v>Rescued 9/10 cases where expert UUID was ranks 2–5.</x:v>
      </x:c>
    </x:row>
    <x:row r="12">
      <x:c r="A12" s="30" t="str">
        <x:v>Match-type accuracy</x:v>
      </x:c>
      <x:c r="B12" s="28" t="str">
        <x:v>77.1%</x:v>
      </x:c>
      <x:c r="C12" s="28" t="str">
        <x:v>Mistral 51.4%</x:v>
      </x:c>
      <x:c r="D12" s="28" t="str">
        <x:v>Best Direct/Proxy/Review Required classification.</x:v>
      </x:c>
    </x:row>
    <x:row r="13">
      <x:c r="A13" s="30" t="str">
        <x:v>Review Required F1</x:v>
      </x:c>
      <x:c r="B13" s="28" t="str">
        <x:v>72.7%</x:v>
      </x:c>
      <x:c r="C13" s="28" t="str">
        <x:v>Mistral 25.0%</x:v>
      </x:c>
      <x:c r="D13" s="28" t="str">
        <x:v>Only model with strong unmatched-material detection; precision 100%, recall 57.1%.</x:v>
      </x:c>
    </x:row>
    <x:row r="14">
      <x:c r="A14" s="30" t="str">
        <x:v>Full-reference accuracy</x:v>
      </x:c>
      <x:c r="B14" s="28" t="str">
        <x:v>40.0%</x:v>
      </x:c>
      <x:c r="C14" s="28" t="str">
        <x:v>Llama/Mistral 8.6%</x:v>
      </x:c>
      <x:c r="D14" s="28" t="str">
        <x:v>Requires correct normalization + final process/review routing + match type.</x:v>
      </x:c>
    </x:row>
    <x:row r="15">
      <x:c r="A15" s="30" t="str">
        <x:v>Fully valid + full-reference</x:v>
      </x:c>
      <x:c r="B15" s="28" t="str">
        <x:v>37.1%</x:v>
      </x:c>
      <x:c r="C15" s="28" t="str">
        <x:v>Llama 8.6%</x:v>
      </x:c>
      <x:c r="D15" s="28" t="str">
        <x:v>Sensitivity check requiring the whole response to be structurally valid.</x:v>
      </x:c>
    </x:row>
    <x:row r="16">
      <x:c r="A16" s="30" t="str">
        <x:v>Structured-output validity</x:v>
      </x:c>
      <x:c r="B16" s="28" t="str">
        <x:v>97.1%</x:v>
      </x:c>
      <x:c r="C16" s="28" t="str">
        <x:v>Llama 100%</x:v>
      </x:c>
      <x:c r="D16" s="28" t="str">
        <x:v>One invalid-ranking response; no token-limit truncation.</x:v>
      </x:c>
    </x:row>
    <x:row r="17">
      <x:c r="A17" s="30" t="str">
        <x:v>Strict repeatability</x:v>
      </x:c>
      <x:c r="B17" s="28" t="str">
        <x:v>91.7%</x:v>
      </x:c>
      <x:c r="C17" s="28" t="str">
        <x:v>Llama 100%</x:v>
      </x:c>
      <x:c r="D17" s="28" t="str">
        <x:v>11/12 valid-and-identical repeatability cases; agreement among valid pairs was 100%.</x:v>
      </x:c>
    </x:row>
    <x:row r="18">
      <x:c r="A18" s="30" t="str">
        <x:v>Median inference time</x:v>
      </x:c>
      <x:c r="B18" s="28" t="str">
        <x:v>4.75 s</x:v>
      </x:c>
      <x:c r="C18" s="28" t="str">
        <x:v>Llama 4.42 s</x:v>
      </x:c>
      <x:c r="D18" s="28" t="str">
        <x:v>Near-fastest while substantially more accurate on the matching task.</x:v>
      </x:c>
    </x:row>
    <x:row r="21">
      <x:c r="A21" s="34" t="str">
        <x:v>Selection conclusion</x:v>
      </x:c>
      <x:c r="B21" s="34"/>
      <x:c r="C21" s="34"/>
      <x:c r="D21" s="34"/>
      <x:c r="E21" s="34"/>
      <x:c r="F21" s="34"/>
      <x:c r="G21" s="34"/>
      <x:c r="H21" s="34"/>
      <x:c r="I21" s="34"/>
      <x:c r="J21" s="34"/>
      <x:c r="K21" s="34"/>
    </x:row>
    <x:row r="22">
      <x:c r="A22" s="39" t="str">
        <x:v>Qwen2.5 7B Instruct is the preferred model for the next stage of the framework. It achieved the highest exact process selection, conditional selection, match-type accuracy, Review Required F1, normalization performance, and full-reference accuracy, while retaining 97.1% structured-output validity and near-fastest inference. The conclusion is not based on an arbitrary weighted score. Paired testing showed a significant overall difference among the four models for exact process selection (Cochran Q p≈1.16×10⁻⁵) and full-reference accuracy (p≈1.83×10⁻⁵). Qwen's full-reference accuracy remained significantly higher than each other model after Holm correction. Pairwise exact process-selection differences between Qwen and Llama/Mistral were not significant after multiplicity correction, so the choice of Qwen is supported by the combined evidence across selection, classification, unmatched-material detection, reliability, and speed.</x:v>
      </x:c>
      <x:c r="B22" s="39"/>
      <x:c r="C22" s="39"/>
      <x:c r="D22" s="39"/>
      <x:c r="E22" s="39"/>
      <x:c r="F22" s="39"/>
      <x:c r="G22" s="39"/>
      <x:c r="H22" s="39"/>
      <x:c r="I22" s="39"/>
      <x:c r="J22" s="39"/>
      <x:c r="K22" s="39"/>
    </x:row>
    <x:row r="23">
      <x:c r="A23" s="39"/>
      <x:c r="B23" s="39"/>
      <x:c r="C23" s="39"/>
      <x:c r="D23" s="39"/>
      <x:c r="E23" s="39"/>
      <x:c r="F23" s="39"/>
      <x:c r="G23" s="39"/>
      <x:c r="H23" s="39"/>
      <x:c r="I23" s="39"/>
      <x:c r="J23" s="39"/>
      <x:c r="K23" s="39"/>
    </x:row>
    <x:row r="24">
      <x:c r="A24" s="39"/>
      <x:c r="B24" s="39"/>
      <x:c r="C24" s="39"/>
      <x:c r="D24" s="39"/>
      <x:c r="E24" s="39"/>
      <x:c r="F24" s="39"/>
      <x:c r="G24" s="39"/>
      <x:c r="H24" s="39"/>
      <x:c r="I24" s="39"/>
      <x:c r="J24" s="39"/>
      <x:c r="K24" s="39"/>
    </x:row>
    <x:row r="25">
      <x:c r="A25" s="39"/>
      <x:c r="B25" s="39"/>
      <x:c r="C25" s="39"/>
      <x:c r="D25" s="39"/>
      <x:c r="E25" s="39"/>
      <x:c r="F25" s="39"/>
      <x:c r="G25" s="39"/>
      <x:c r="H25" s="39"/>
      <x:c r="I25" s="39"/>
      <x:c r="J25" s="39"/>
      <x:c r="K25" s="39"/>
    </x:row>
  </x:sheetData>
  <x:mergeCells>
    <x:mergeCell ref="A1:K1"/>
    <x:mergeCell ref="A2:K2"/>
    <x:mergeCell ref="A21:K21"/>
    <x:mergeCell ref="A22:K25"/>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28"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s>
  <x:sheetData>
    <x:row r="1">
      <x:c r="A1" s="22" t="str">
        <x:v>model_key</x:v>
      </x:c>
      <x:c r="B1" s="22" t="str">
        <x:v>model_name</x:v>
      </x:c>
      <x:c r="C1" s="22" t="str">
        <x:v>model_id</x:v>
      </x:c>
      <x:c r="D1" s="22" t="str">
        <x:v>model_revision</x:v>
      </x:c>
      <x:c r="E1" s="22" t="str">
        <x:v>n_samples</x:v>
      </x:c>
      <x:c r="F1" s="22" t="str">
        <x:v>n_runs_per_sample</x:v>
      </x:c>
      <x:c r="G1" s="22" t="str">
        <x:v>n_prediction_rows</x:v>
      </x:c>
      <x:c r="H1" s="22" t="str">
        <x:v>n_direct_reference_samples</x:v>
      </x:c>
      <x:c r="I1" s="22" t="str">
        <x:v>n_proxy_reference_samples</x:v>
      </x:c>
      <x:c r="J1" s="22" t="str">
        <x:v>n_review_required_reference_samples</x:v>
      </x:c>
      <x:c r="K1" s="22" t="str">
        <x:v>structured_output_valid_rate</x:v>
      </x:c>
      <x:c r="L1" s="22" t="str">
        <x:v>field_recovery_rate</x:v>
      </x:c>
      <x:c r="M1" s="22" t="str">
        <x:v>usable_response_rate</x:v>
      </x:c>
      <x:c r="N1" s="22" t="str">
        <x:v>normalization_field_valid_rate</x:v>
      </x:c>
      <x:c r="O1" s="22" t="str">
        <x:v>ranking_field_valid_rate</x:v>
      </x:c>
      <x:c r="P1" s="22" t="str">
        <x:v>selection_field_valid_rate</x:v>
      </x:c>
      <x:c r="Q1" s="22" t="str">
        <x:v>match_type_field_valid_rate</x:v>
      </x:c>
      <x:c r="R1" s="22" t="str">
        <x:v>normalization_exact_accuracy</x:v>
      </x:c>
      <x:c r="S1" s="22" t="str">
        <x:v>mean_normalization_similarity</x:v>
      </x:c>
      <x:c r="T1" s="22" t="str">
        <x:v>candidate_pool_recall</x:v>
      </x:c>
      <x:c r="U1" s="22" t="str">
        <x:v>tfidf_top1_baseline_accuracy</x:v>
      </x:c>
      <x:c r="V1" s="22" t="str">
        <x:v>top1_ranking_accuracy</x:v>
      </x:c>
      <x:c r="W1" s="22" t="str">
        <x:v>top3_ranking_recall</x:v>
      </x:c>
      <x:c r="X1" s="22" t="str">
        <x:v>top5_ranking_recall</x:v>
      </x:c>
      <x:c r="Y1" s="22" t="str">
        <x:v>configured_top_k_ranking_recall</x:v>
      </x:c>
      <x:c r="Z1" s="22" t="str">
        <x:v>mean_reciprocal_rank</x:v>
      </x:c>
      <x:c r="AA1" s="22" t="str">
        <x:v>final_process_selection_accuracy_matched_rows</x:v>
      </x:c>
      <x:c r="AB1" s="22" t="str">
        <x:v>conditional_process_selection_accuracy</x:v>
      </x:c>
      <x:c r="AC1" s="22" t="str">
        <x:v>match_type_accuracy</x:v>
      </x:c>
      <x:c r="AD1" s="22" t="str">
        <x:v>review_required_binary_accuracy</x:v>
      </x:c>
      <x:c r="AE1" s="22" t="str">
        <x:v>review_required_precision</x:v>
      </x:c>
      <x:c r="AF1" s="22" t="str">
        <x:v>review_required_recall</x:v>
      </x:c>
      <x:c r="AG1" s="22" t="str">
        <x:v>review_required_f1</x:v>
      </x:c>
      <x:c r="AH1" s="22" t="str">
        <x:v>end_to_end_reference_accuracy</x:v>
      </x:c>
      <x:c r="AI1" s="22" t="str">
        <x:v>mean_generation_seconds</x:v>
      </x:c>
      <x:c r="AJ1" s="22" t="str">
        <x:v>median_generation_seconds</x:v>
      </x:c>
      <x:c r="AK1" s="22" t="str">
        <x:v>token_limit_hit_rate</x:v>
      </x:c>
      <x:c r="AL1" s="22" t="str">
        <x:v>macro_f1_final_reference</x:v>
      </x:c>
      <x:c r="AM1" s="22" t="str">
        <x:v>run_to_run_selection_agreement</x:v>
      </x:c>
      <x:c r="AN1" s="22" t="str">
        <x:v>run_to_run_normalization_agreement</x:v>
      </x:c>
      <x:c r="AO1" s="22" t="str">
        <x:v>run_to_run_match_type_agreement</x:v>
      </x:c>
    </x:row>
    <x:row r="2">
      <x:c r="A2" t="str">
        <x:v>llama</x:v>
      </x:c>
      <x:c r="B2" t="str">
        <x:v>Llama 3.1 8B Instruct</x:v>
      </x:c>
      <x:c r="C2" t="str">
        <x:v>meta-llama/Llama-3.1-8B-Instruct</x:v>
      </x:c>
      <x:c r="D2" t="str">
        <x:v>0e9e39f249a16976918f6564b8830bc894c89659</x:v>
      </x:c>
      <x:c r="E2" t="n">
        <x:v>35</x:v>
      </x:c>
      <x:c r="F2" t="n">
        <x:v>1</x:v>
      </x:c>
      <x:c r="G2" t="n">
        <x:v>35</x:v>
      </x:c>
      <x:c r="H2" t="n">
        <x:v>13</x:v>
      </x:c>
      <x:c r="I2" t="n">
        <x:v>15</x:v>
      </x:c>
      <x:c r="J2" t="n">
        <x:v>7</x:v>
      </x:c>
      <x:c r="K2" t="n">
        <x:v>1</x:v>
      </x:c>
      <x:c r="L2" t="n">
        <x:v>0</x:v>
      </x:c>
      <x:c r="M2" t="n">
        <x:v>1</x:v>
      </x:c>
      <x:c r="N2" t="n">
        <x:v>1</x:v>
      </x:c>
      <x:c r="O2" t="n">
        <x:v>1</x:v>
      </x:c>
      <x:c r="P2" t="n">
        <x:v>1</x:v>
      </x:c>
      <x:c r="Q2" t="n">
        <x:v>1</x:v>
      </x:c>
      <x:c r="R2" t="n">
        <x:v>0.3714285714285714</x:v>
      </x:c>
      <x:c r="S2" t="n">
        <x:v>0.7288628571428571</x:v>
      </x:c>
      <x:c r="T2" t="n">
        <x:v>0.75</x:v>
      </x:c>
      <x:c r="U2" t="n">
        <x:v>0.3928571428571428</x:v>
      </x:c>
      <x:c r="V2" t="n">
        <x:v>0.4642857142857143</x:v>
      </x:c>
      <x:c r="W2" t="n">
        <x:v>0.5714285714285714</x:v>
      </x:c>
      <x:c r="X2" t="n">
        <x:v>0.5714285714285714</x:v>
      </x:c>
      <x:c r="Y2" t="n">
        <x:v>0.5714285714285714</x:v>
      </x:c>
      <x:c r="Z2" t="n">
        <x:v>0.5119047619047619</x:v>
      </x:c>
      <x:c r="AA2" t="n">
        <x:v>0.4642857142857143</x:v>
      </x:c>
      <x:c r="AB2" t="n">
        <x:v>0.6190476190476191</x:v>
      </x:c>
      <x:c r="AC2" t="n">
        <x:v>0.3714285714285714</x:v>
      </x:c>
      <x:c r="AD2" t="n">
        <x:v>0.8</x:v>
      </x:c>
      <x:c r="AE2" t="n">
        <x:v>0</x:v>
      </x:c>
      <x:c r="AF2" t="n">
        <x:v>0</x:v>
      </x:c>
      <x:c r="AG2" t="n">
        <x:v>0</x:v>
      </x:c>
      <x:c r="AH2" t="n">
        <x:v>0.08571428571428572</x:v>
      </x:c>
      <x:c r="AI2" t="n">
        <x:v>4.909458271085708</x:v>
      </x:c>
      <x:c r="AJ2" t="n">
        <x:v>4.420765053999958</x:v>
      </x:c>
      <x:c r="AK2" t="n">
        <x:v>0</x:v>
      </x:c>
      <x:c r="AL2" t="n">
        <x:v>0.1633333333333334</x:v>
      </x:c>
      <x:c r="AM2"/>
      <x:c r="AN2"/>
      <x:c r="AO2"/>
    </x:row>
    <x:row r="3">
      <x:c r="A3" t="str">
        <x:v>qwen</x:v>
      </x:c>
      <x:c r="B3" t="str">
        <x:v>Qwen2.5 7B Instruct</x:v>
      </x:c>
      <x:c r="C3" t="str">
        <x:v>Qwen/Qwen2.5-7B-Instruct</x:v>
      </x:c>
      <x:c r="D3" t="str">
        <x:v>a09a35458c702b33eeacc393d103063234e8bc28</x:v>
      </x:c>
      <x:c r="E3" t="n">
        <x:v>35</x:v>
      </x:c>
      <x:c r="F3" t="n">
        <x:v>1</x:v>
      </x:c>
      <x:c r="G3" t="n">
        <x:v>35</x:v>
      </x:c>
      <x:c r="H3" t="n">
        <x:v>13</x:v>
      </x:c>
      <x:c r="I3" t="n">
        <x:v>15</x:v>
      </x:c>
      <x:c r="J3" t="n">
        <x:v>7</x:v>
      </x:c>
      <x:c r="K3" t="n">
        <x:v>0.9714285714285714</x:v>
      </x:c>
      <x:c r="L3" t="n">
        <x:v>0</x:v>
      </x:c>
      <x:c r="M3" t="n">
        <x:v>0.9714285714285714</x:v>
      </x:c>
      <x:c r="N3" t="n">
        <x:v>1</x:v>
      </x:c>
      <x:c r="O3" t="n">
        <x:v>0.9714285714285714</x:v>
      </x:c>
      <x:c r="P3" t="n">
        <x:v>1</x:v>
      </x:c>
      <x:c r="Q3" t="n">
        <x:v>1</x:v>
      </x:c>
      <x:c r="R3" t="n">
        <x:v>0.4857142857142857</x:v>
      </x:c>
      <x:c r="S3" t="n">
        <x:v>0.7994485714285715</x:v>
      </x:c>
      <x:c r="T3" t="n">
        <x:v>0.75</x:v>
      </x:c>
      <x:c r="U3" t="n">
        <x:v>0.3928571428571428</x:v>
      </x:c>
      <x:c r="V3" t="n">
        <x:v>0.6428571428571429</x:v>
      </x:c>
      <x:c r="W3" t="n">
        <x:v>0.6785714285714286</x:v>
      </x:c>
      <x:c r="X3" t="n">
        <x:v>0.6785714285714286</x:v>
      </x:c>
      <x:c r="Y3" t="n">
        <x:v>0.6785714285714286</x:v>
      </x:c>
      <x:c r="Z3" t="n">
        <x:v>0.6607142857142857</x:v>
      </x:c>
      <x:c r="AA3" t="n">
        <x:v>0.6785714285714286</x:v>
      </x:c>
      <x:c r="AB3" t="n">
        <x:v>0.9047619047619048</x:v>
      </x:c>
      <x:c r="AC3" t="n">
        <x:v>0.7714285714285715</x:v>
      </x:c>
      <x:c r="AD3" t="n">
        <x:v>0.9142857142857143</x:v>
      </x:c>
      <x:c r="AE3" t="n">
        <x:v>1</x:v>
      </x:c>
      <x:c r="AF3" t="n">
        <x:v>0.5714285714285714</x:v>
      </x:c>
      <x:c r="AG3" t="n">
        <x:v>0.7272727272727273</x:v>
      </x:c>
      <x:c r="AH3" t="n">
        <x:v>0.4</x:v>
      </x:c>
      <x:c r="AI3" t="n">
        <x:v>5.073547088228588</x:v>
      </x:c>
      <x:c r="AJ3" t="n">
        <x:v>4.751639589999968</x:v>
      </x:c>
      <x:c r="AK3" t="n">
        <x:v>0</x:v>
      </x:c>
      <x:c r="AL3" t="n">
        <x:v>0.3754483611626468</x:v>
      </x:c>
      <x:c r="AM3"/>
      <x:c r="AN3"/>
      <x:c r="AO3"/>
    </x:row>
    <x:row r="4">
      <x:c r="A4" t="str">
        <x:v>deepseek</x:v>
      </x:c>
      <x:c r="B4" t="str">
        <x:v>DeepSeek LLM 7B Chat</x:v>
      </x:c>
      <x:c r="C4" t="str">
        <x:v>deepseek-ai/deepseek-llm-7b-chat</x:v>
      </x:c>
      <x:c r="D4" t="str">
        <x:v>afbda8b347ec881666061fa67447046fc5164ec8</x:v>
      </x:c>
      <x:c r="E4" t="n">
        <x:v>35</x:v>
      </x:c>
      <x:c r="F4" t="n">
        <x:v>1</x:v>
      </x:c>
      <x:c r="G4" t="n">
        <x:v>35</x:v>
      </x:c>
      <x:c r="H4" t="n">
        <x:v>13</x:v>
      </x:c>
      <x:c r="I4" t="n">
        <x:v>15</x:v>
      </x:c>
      <x:c r="J4" t="n">
        <x:v>7</x:v>
      </x:c>
      <x:c r="K4" t="n">
        <x:v>0.9142857142857143</x:v>
      </x:c>
      <x:c r="L4" t="n">
        <x:v>0</x:v>
      </x:c>
      <x:c r="M4" t="n">
        <x:v>0.9142857142857143</x:v>
      </x:c>
      <x:c r="N4" t="n">
        <x:v>1</x:v>
      </x:c>
      <x:c r="O4" t="n">
        <x:v>0.9142857142857143</x:v>
      </x:c>
      <x:c r="P4" t="n">
        <x:v>0.9714285714285714</x:v>
      </x:c>
      <x:c r="Q4" t="n">
        <x:v>1</x:v>
      </x:c>
      <x:c r="R4" t="n">
        <x:v>0.4</x:v>
      </x:c>
      <x:c r="S4" t="n">
        <x:v>0.7301485714285714</x:v>
      </x:c>
      <x:c r="T4" t="n">
        <x:v>0.75</x:v>
      </x:c>
      <x:c r="U4" t="n">
        <x:v>0.3928571428571428</x:v>
      </x:c>
      <x:c r="V4" t="n">
        <x:v>0.1785714285714286</x:v>
      </x:c>
      <x:c r="W4" t="n">
        <x:v>0.5</x:v>
      </x:c>
      <x:c r="X4" t="n">
        <x:v>0.5</x:v>
      </x:c>
      <x:c r="Y4" t="n">
        <x:v>0.5</x:v>
      </x:c>
      <x:c r="Z4" t="n">
        <x:v>0.3095238095238095</x:v>
      </x:c>
      <x:c r="AA4" t="n">
        <x:v>0.1785714285714286</x:v>
      </x:c>
      <x:c r="AB4" t="n">
        <x:v>0.2380952380952381</x:v>
      </x:c>
      <x:c r="AC4" t="n">
        <x:v>0.3714285714285714</x:v>
      </x:c>
      <x:c r="AD4" t="n">
        <x:v>0.8</x:v>
      </x:c>
      <x:c r="AE4" t="n">
        <x:v>0</x:v>
      </x:c>
      <x:c r="AF4" t="n">
        <x:v>0</x:v>
      </x:c>
      <x:c r="AG4" t="n">
        <x:v>0</x:v>
      </x:c>
      <x:c r="AH4" t="n">
        <x:v>0.02857142857142857</x:v>
      </x:c>
      <x:c r="AI4" t="n">
        <x:v>7.322023187828589</x:v>
      </x:c>
      <x:c r="AJ4" t="n">
        <x:v>7.364236909000283</x:v>
      </x:c>
      <x:c r="AK4" t="n">
        <x:v>0</x:v>
      </x:c>
      <x:c r="AL4" t="n">
        <x:v>0.06111111111111112</x:v>
      </x:c>
      <x:c r="AM4"/>
      <x:c r="AN4"/>
      <x:c r="AO4"/>
    </x:row>
    <x:row r="5">
      <x:c r="A5" t="str">
        <x:v>mistral</x:v>
      </x:c>
      <x:c r="B5" t="str">
        <x:v>Mistral 7B Instruct v0.3</x:v>
      </x:c>
      <x:c r="C5" t="str">
        <x:v>mistralai/Mistral-7B-Instruct-v0.3</x:v>
      </x:c>
      <x:c r="D5" t="str">
        <x:v>c170c708c41dac9275d15a8fff4eca08d52bab71</x:v>
      </x:c>
      <x:c r="E5" t="n">
        <x:v>35</x:v>
      </x:c>
      <x:c r="F5" t="n">
        <x:v>1</x:v>
      </x:c>
      <x:c r="G5" t="n">
        <x:v>35</x:v>
      </x:c>
      <x:c r="H5" t="n">
        <x:v>13</x:v>
      </x:c>
      <x:c r="I5" t="n">
        <x:v>15</x:v>
      </x:c>
      <x:c r="J5" t="n">
        <x:v>7</x:v>
      </x:c>
      <x:c r="K5" t="n">
        <x:v>0.9714285714285714</x:v>
      </x:c>
      <x:c r="L5" t="n">
        <x:v>0</x:v>
      </x:c>
      <x:c r="M5" t="n">
        <x:v>0.9714285714285714</x:v>
      </x:c>
      <x:c r="N5" t="n">
        <x:v>1</x:v>
      </x:c>
      <x:c r="O5" t="n">
        <x:v>0.9714285714285714</x:v>
      </x:c>
      <x:c r="P5" t="n">
        <x:v>1</x:v>
      </x:c>
      <x:c r="Q5" t="n">
        <x:v>1</x:v>
      </x:c>
      <x:c r="R5" t="n">
        <x:v>0.2857142857142857</x:v>
      </x:c>
      <x:c r="S5" t="n">
        <x:v>0.703082857142857</x:v>
      </x:c>
      <x:c r="T5" t="n">
        <x:v>0.75</x:v>
      </x:c>
      <x:c r="U5" t="n">
        <x:v>0.3928571428571428</x:v>
      </x:c>
      <x:c r="V5" t="n">
        <x:v>0.5714285714285714</x:v>
      </x:c>
      <x:c r="W5" t="n">
        <x:v>0.6428571428571429</x:v>
      </x:c>
      <x:c r="X5" t="n">
        <x:v>0.6428571428571429</x:v>
      </x:c>
      <x:c r="Y5" t="n">
        <x:v>0.6428571428571429</x:v>
      </x:c>
      <x:c r="Z5" t="n">
        <x:v>0.6071428571428571</x:v>
      </x:c>
      <x:c r="AA5" t="n">
        <x:v>0.5714285714285714</x:v>
      </x:c>
      <x:c r="AB5" t="n">
        <x:v>0.7619047619047619</x:v>
      </x:c>
      <x:c r="AC5" t="n">
        <x:v>0.5142857142857142</x:v>
      </x:c>
      <x:c r="AD5" t="n">
        <x:v>0.8285714285714286</x:v>
      </x:c>
      <x:c r="AE5" t="n">
        <x:v>1</x:v>
      </x:c>
      <x:c r="AF5" t="n">
        <x:v>0.1428571428571428</x:v>
      </x:c>
      <x:c r="AG5" t="n">
        <x:v>0.25</x:v>
      </x:c>
      <x:c r="AH5" t="n">
        <x:v>0.08571428571428572</x:v>
      </x:c>
      <x:c r="AI5" t="n">
        <x:v>7.205952954085725</x:v>
      </x:c>
      <x:c r="AJ5" t="n">
        <x:v>7.577631692000068</x:v>
      </x:c>
      <x:c r="AK5" t="n">
        <x:v>0</x:v>
      </x:c>
      <x:c r="AL5" t="n">
        <x:v>0.2616190476190476</x:v>
      </x:c>
      <x:c r="AM5"/>
      <x:c r="AN5"/>
      <x:c r="AO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42"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30" hidden="0" customWidth="1"/>
    <x:col min="12" max="12" width="30"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26" hidden="0" customWidth="1"/>
  </x:cols>
  <x:sheetData>
    <x:row r="1">
      <x:c r="A1" s="22" t="str">
        <x:v>model_key</x:v>
      </x:c>
      <x:c r="B1" s="22" t="str">
        <x:v>sample_id</x:v>
      </x:c>
      <x:c r="C1" s="22" t="str">
        <x:v>case_study</x:v>
      </x:c>
      <x:c r="D1" s="22" t="str">
        <x:v>material_description</x:v>
      </x:c>
      <x:c r="E1" s="22" t="str">
        <x:v>ground_truth_match_type</x:v>
      </x:c>
      <x:c r="F1" s="22" t="str">
        <x:v>ground_truth_unresolved</x:v>
      </x:c>
      <x:c r="G1" s="22" t="str">
        <x:v>candidate_pool_contains_ground_truth</x:v>
      </x:c>
      <x:c r="H1" s="22" t="str">
        <x:v>tfidf_top1_baseline_correct</x:v>
      </x:c>
      <x:c r="I1" s="22" t="str">
        <x:v>normalized_material</x:v>
      </x:c>
      <x:c r="J1" s="22" t="str">
        <x:v>predicted_match_type</x:v>
      </x:c>
      <x:c r="K1" s="22" t="str">
        <x:v>selected_process_uuid</x:v>
      </x:c>
      <x:c r="L1" s="22" t="str">
        <x:v>selected_process_name</x:v>
      </x:c>
      <x:c r="M1" s="22" t="str">
        <x:v>structured_output_valid</x:v>
      </x:c>
      <x:c r="N1" s="22" t="str">
        <x:v>usable_response</x:v>
      </x:c>
      <x:c r="O1" s="22" t="str">
        <x:v>parse_status</x:v>
      </x:c>
      <x:c r="P1" s="22" t="str">
        <x:v>generation_seconds</x:v>
      </x:c>
      <x:c r="Q1" s="22" t="str">
        <x:v>generated_tokens</x:v>
      </x:c>
      <x:c r="R1" s="22" t="str">
        <x:v>hit_token_limit</x:v>
      </x:c>
      <x:c r="S1" s="22" t="str">
        <x:v>normalization_exact</x:v>
      </x:c>
      <x:c r="T1" s="22" t="str">
        <x:v>normalization_similarity</x:v>
      </x:c>
      <x:c r="U1" s="22" t="str">
        <x:v>process_selection_correct</x:v>
      </x:c>
      <x:c r="V1" s="22" t="str">
        <x:v>conditional_process_selection_correct</x:v>
      </x:c>
      <x:c r="W1" s="22" t="str">
        <x:v>match_type_correct</x:v>
      </x:c>
      <x:c r="X1" s="22" t="str">
        <x:v>review_required_binary_correct</x:v>
      </x:c>
      <x:c r="Y1" s="22" t="str">
        <x:v>unresolved_routing_correct</x:v>
      </x:c>
      <x:c r="Z1" s="22" t="str">
        <x:v>end_to_end_reference_correct</x:v>
      </x:c>
      <x:c r="AA1" s="22" t="str">
        <x:v>ground_truth_process_uuid</x:v>
      </x:c>
      <x:c r="AB1" s="22" t="str">
        <x:v>ground_truth_normalized_material</x:v>
      </x:c>
    </x:row>
    <x:row r="2">
      <x:c r="A2" t="str">
        <x:v>llama</x:v>
      </x:c>
      <x:c r="B2" t="str">
        <x:v>S01</x:v>
      </x:c>
      <x:c r="C2" t="str">
        <x:v>Stonecrete House</x:v>
      </x:c>
      <x:c r="D2" t="str">
        <x:v>Ordinary Portland Cement (OPC 43-grade)</x:v>
      </x:c>
      <x:c r="E2" t="str">
        <x:v>direct</x:v>
      </x:c>
      <x:c r="F2" s="42" t="b">
        <x:v>0</x:v>
      </x:c>
      <x:c r="G2" t="n">
        <x:v>1</x:v>
      </x:c>
      <x:c r="H2" t="n">
        <x:v>1</x:v>
      </x:c>
      <x:c r="I2" t="str">
        <x:v>Portland cement</x:v>
      </x:c>
      <x:c r="J2" t="str">
        <x:v>direct</x:v>
      </x:c>
      <x:c r="K2" t="str">
        <x:v>600573dd-dfa5-44e5-b458-8727e793ffd7</x:v>
      </x:c>
      <x:c r="L2" t="str">
        <x:v>Portland cement (CEM I), CEMBUREAU production mix, at plant, CEMBUREAU technology mix, EN 197-1</x:v>
      </x:c>
      <x:c r="M2" s="42" t="b">
        <x:v>1</x:v>
      </x:c>
      <x:c r="N2" s="42" t="b">
        <x:v>1</x:v>
      </x:c>
      <x:c r="O2" t="str">
        <x:v>ok</x:v>
      </x:c>
      <x:c r="P2" t="n">
        <x:v>5.052356691000114</x:v>
      </x:c>
      <x:c r="Q2" t="n">
        <x:v>49</x:v>
      </x:c>
      <x:c r="R2" s="42" t="b">
        <x:v>0</x:v>
      </x:c>
      <x:c r="S2" s="42" t="b">
        <x:v>0</x:v>
      </x:c>
      <x:c r="T2" t="n">
        <x:v>0.5714</x:v>
      </x:c>
      <x:c r="U2" t="n">
        <x:v>1</x:v>
      </x:c>
      <x:c r="V2" t="n">
        <x:v>1</x:v>
      </x:c>
      <x:c r="W2" s="42" t="b">
        <x:v>1</x:v>
      </x:c>
      <x:c r="X2" s="42" t="b">
        <x:v>1</x:v>
      </x:c>
      <x:c r="Y2"/>
      <x:c r="Z2" s="42" t="b">
        <x:v>0</x:v>
      </x:c>
      <x:c r="AA2" t="str">
        <x:v>600573dd-dfa5-44e5-b458-8727e793ffd7</x:v>
      </x:c>
      <x:c r="AB2" t="str">
        <x:v>Cement</x:v>
      </x:c>
    </x:row>
    <x:row r="3">
      <x:c r="A3" t="str">
        <x:v>llama</x:v>
      </x:c>
      <x:c r="B3" t="str">
        <x:v>S02</x:v>
      </x:c>
      <x:c r="C3" t="str">
        <x:v>Stonecrete House</x:v>
      </x:c>
      <x:c r="D3" t="str">
        <x:v>River Sand (clean, well-graded)</x:v>
      </x:c>
      <x:c r="E3" t="str">
        <x:v>direct</x:v>
      </x:c>
      <x:c r="F3" s="42" t="b">
        <x:v>0</x:v>
      </x:c>
      <x:c r="G3" t="n">
        <x:v>1</x:v>
      </x:c>
      <x:c r="H3" t="n">
        <x:v>1</x:v>
      </x:c>
      <x:c r="I3" t="str">
        <x:v>silica sand</x:v>
      </x:c>
      <x:c r="J3" t="str">
        <x:v>proxy</x:v>
      </x:c>
      <x:c r="K3" t="str">
        <x:v>898618b1-3306-11dd-bd11-0800200c9a66</x:v>
      </x:c>
      <x:c r="L3" t="str">
        <x:v>Sand 0/2, production mix, at plant, wet and dry quarry, undried</x:v>
      </x:c>
      <x:c r="M3" s="42" t="b">
        <x:v>1</x:v>
      </x:c>
      <x:c r="N3" s="42" t="b">
        <x:v>1</x:v>
      </x:c>
      <x:c r="O3" t="str">
        <x:v>ok</x:v>
      </x:c>
      <x:c r="P3" t="n">
        <x:v>5.283317136000051</x:v>
      </x:c>
      <x:c r="Q3" t="n">
        <x:v>78</x:v>
      </x:c>
      <x:c r="R3" s="42" t="b">
        <x:v>0</x:v>
      </x:c>
      <x:c r="S3" s="42" t="b">
        <x:v>0</x:v>
      </x:c>
      <x:c r="T3" t="n">
        <x:v>0.5333</x:v>
      </x:c>
      <x:c r="U3" t="n">
        <x:v>1</x:v>
      </x:c>
      <x:c r="V3" t="n">
        <x:v>1</x:v>
      </x:c>
      <x:c r="W3" s="42" t="b">
        <x:v>0</x:v>
      </x:c>
      <x:c r="X3" s="42" t="b">
        <x:v>1</x:v>
      </x:c>
      <x:c r="Y3"/>
      <x:c r="Z3" s="42" t="b">
        <x:v>0</x:v>
      </x:c>
      <x:c r="AA3" t="str">
        <x:v>898618b1-3306-11dd-bd11-0800200c9a66</x:v>
      </x:c>
      <x:c r="AB3" t="str">
        <x:v>Sand</x:v>
      </x:c>
    </x:row>
    <x:row r="4">
      <x:c r="A4" t="str">
        <x:v>llama</x:v>
      </x:c>
      <x:c r="B4" t="str">
        <x:v>S03</x:v>
      </x:c>
      <x:c r="C4" t="str">
        <x:v>Stonecrete House</x:v>
      </x:c>
      <x:c r="D4" t="str">
        <x:v>Natural Gravel</x:v>
      </x:c>
      <x:c r="E4" t="str">
        <x:v>direct</x:v>
      </x:c>
      <x:c r="F4" s="42" t="b">
        <x:v>0</x:v>
      </x:c>
      <x:c r="G4" t="n">
        <x:v>1</x:v>
      </x:c>
      <x:c r="H4" t="n">
        <x:v>0</x:v>
      </x:c>
      <x:c r="I4" t="str">
        <x:v>Gravel</x:v>
      </x:c>
      <x:c r="J4" t="str">
        <x:v>proxy</x:v>
      </x:c>
      <x:c r="K4" t="str">
        <x:v>0deb15f0-518a-11dd-ae16-0800200c9a66</x:v>
      </x:c>
      <x:c r="L4" t="str">
        <x:v>Process steam from natural gas, consumption mix, at plant, heat plant, MJ</x:v>
      </x:c>
      <x:c r="M4" s="42" t="b">
        <x:v>1</x:v>
      </x:c>
      <x:c r="N4" s="42" t="b">
        <x:v>1</x:v>
      </x:c>
      <x:c r="O4" t="str">
        <x:v>ok</x:v>
      </x:c>
      <x:c r="P4" t="n">
        <x:v>5.419234437000114</x:v>
      </x:c>
      <x:c r="Q4" t="n">
        <x:v>76</x:v>
      </x:c>
      <x:c r="R4" s="42" t="b">
        <x:v>0</x:v>
      </x:c>
      <x:c r="S4" s="42" t="b">
        <x:v>1</x:v>
      </x:c>
      <x:c r="T4" t="n">
        <x:v>1</x:v>
      </x:c>
      <x:c r="U4" t="n">
        <x:v>0</x:v>
      </x:c>
      <x:c r="V4" t="n">
        <x:v>0</x:v>
      </x:c>
      <x:c r="W4" s="42" t="b">
        <x:v>0</x:v>
      </x:c>
      <x:c r="X4" s="42" t="b">
        <x:v>1</x:v>
      </x:c>
      <x:c r="Y4"/>
      <x:c r="Z4" s="42" t="b">
        <x:v>0</x:v>
      </x:c>
      <x:c r="AA4" t="str">
        <x:v>898618b2-3306-11dd-bd11-0800200c9a66</x:v>
      </x:c>
      <x:c r="AB4" t="str">
        <x:v>Gravel</x:v>
      </x:c>
    </x:row>
    <x:row r="5">
      <x:c r="A5" t="str">
        <x:v>llama</x:v>
      </x:c>
      <x:c r="B5" t="str">
        <x:v>S04</x:v>
      </x:c>
      <x:c r="C5" t="str">
        <x:v>Stonecrete House</x:v>
      </x:c>
      <x:c r="D5" t="str">
        <x:v>Stone</x:v>
      </x:c>
      <x:c r="E5" t="str">
        <x:v>proxy</x:v>
      </x:c>
      <x:c r="F5" s="42" t="b">
        <x:v>0</x:v>
      </x:c>
      <x:c r="G5" t="n">
        <x:v>1</x:v>
      </x:c>
      <x:c r="H5" t="n">
        <x:v>0</x:v>
      </x:c>
      <x:c r="I5" t="str">
        <x:v>stone</x:v>
      </x:c>
      <x:c r="J5" t="str">
        <x:v>direct</x:v>
      </x:c>
      <x:c r="K5" t="str">
        <x:v>898618b3-3306-11dd-bd11-0800200c9a66</x:v>
      </x:c>
      <x:c r="L5" t="str">
        <x:v>Crushed stone 16/32, production mix, at plant, open pit mining, undried</x:v>
      </x:c>
      <x:c r="M5" s="42" t="b">
        <x:v>1</x:v>
      </x:c>
      <x:c r="N5" s="42" t="b">
        <x:v>1</x:v>
      </x:c>
      <x:c r="O5" t="str">
        <x:v>ok</x:v>
      </x:c>
      <x:c r="P5" t="n">
        <x:v>3.733437645000095</x:v>
      </x:c>
      <x:c r="Q5" t="n">
        <x:v>50</x:v>
      </x:c>
      <x:c r="R5" s="42" t="b">
        <x:v>0</x:v>
      </x:c>
      <x:c r="S5" s="42" t="b">
        <x:v>1</x:v>
      </x:c>
      <x:c r="T5" t="n">
        <x:v>1</x:v>
      </x:c>
      <x:c r="U5" t="n">
        <x:v>1</x:v>
      </x:c>
      <x:c r="V5" t="n">
        <x:v>1</x:v>
      </x:c>
      <x:c r="W5" s="42" t="b">
        <x:v>0</x:v>
      </x:c>
      <x:c r="X5" s="42" t="b">
        <x:v>1</x:v>
      </x:c>
      <x:c r="Y5"/>
      <x:c r="Z5" s="42" t="b">
        <x:v>0</x:v>
      </x:c>
      <x:c r="AA5" t="str">
        <x:v>898618b3-3306-11dd-bd11-0800200c9a66</x:v>
      </x:c>
      <x:c r="AB5" t="str">
        <x:v>Stone</x:v>
      </x:c>
    </x:row>
    <x:row r="6">
      <x:c r="A6" t="str">
        <x:v>llama</x:v>
      </x:c>
      <x:c r="B6" t="str">
        <x:v>S05</x:v>
      </x:c>
      <x:c r="C6" t="str">
        <x:v>Stonecrete House</x:v>
      </x:c>
      <x:c r="D6" t="str">
        <x:v>Plain Cement Concrete (PCC M10 — 1:3:6) - Binding Layer</x:v>
      </x:c>
      <x:c r="E6" t="str">
        <x:v>proxy</x:v>
      </x:c>
      <x:c r="F6" s="42" t="b">
        <x:v>0</x:v>
      </x:c>
      <x:c r="G6" t="n">
        <x:v>1</x:v>
      </x:c>
      <x:c r="H6" t="n">
        <x:v>1</x:v>
      </x:c>
      <x:c r="I6" t="str">
        <x:v>Plain Cement Concrete</x:v>
      </x:c>
      <x:c r="J6" t="str">
        <x:v>direct</x:v>
      </x:c>
      <x:c r="K6" t="str">
        <x:v>a8b2c610-429d-11dd-ae16-0800200c9a66</x:v>
      </x:c>
      <x:c r="L6" t="str">
        <x:v>Aerated concrete block, production mix, at plant, type P4 05 reinforced, average density 485 kg/m3</x:v>
      </x:c>
      <x:c r="M6" s="42" t="b">
        <x:v>1</x:v>
      </x:c>
      <x:c r="N6" s="42" t="b">
        <x:v>1</x:v>
      </x:c>
      <x:c r="O6" t="str">
        <x:v>ok</x:v>
      </x:c>
      <x:c r="P6" t="n">
        <x:v>3.916371424999852</x:v>
      </x:c>
      <x:c r="Q6" t="n">
        <x:v>54</x:v>
      </x:c>
      <x:c r="R6" s="42" t="b">
        <x:v>0</x:v>
      </x:c>
      <x:c r="S6" s="42" t="b">
        <x:v>0</x:v>
      </x:c>
      <x:c r="T6" t="n">
        <x:v>0.5517</x:v>
      </x:c>
      <x:c r="U6" t="n">
        <x:v>0</x:v>
      </x:c>
      <x:c r="V6" t="n">
        <x:v>0</x:v>
      </x:c>
      <x:c r="W6" s="42" t="b">
        <x:v>0</x:v>
      </x:c>
      <x:c r="X6" s="42" t="b">
        <x:v>1</x:v>
      </x:c>
      <x:c r="Y6"/>
      <x:c r="Z6" s="42" t="b">
        <x:v>0</x:v>
      </x:c>
      <x:c r="AA6" t="str">
        <x:v>898618b0-3306-11dd-bd11-0800200c9a66</x:v>
      </x:c>
      <x:c r="AB6" t="str">
        <x:v>Concrete</x:v>
      </x:c>
    </x:row>
    <x:row r="7">
      <x:c r="A7" t="str">
        <x:v>llama</x:v>
      </x:c>
      <x:c r="B7" t="str">
        <x:v>S06</x:v>
      </x:c>
      <x:c r="C7" t="str">
        <x:v>Stonecrete House</x:v>
      </x:c>
      <x:c r="D7" t="str">
        <x:v>Stonecrete block</x:v>
      </x:c>
      <x:c r="E7" t="str">
        <x:v>proxy</x:v>
      </x:c>
      <x:c r="F7" s="42" t="b">
        <x:v>0</x:v>
      </x:c>
      <x:c r="G7" t="n">
        <x:v>1</x:v>
      </x:c>
      <x:c r="H7" t="n">
        <x:v>0</x:v>
      </x:c>
      <x:c r="I7" t="str">
        <x:v>concrete block</x:v>
      </x:c>
      <x:c r="J7" t="str">
        <x:v>proxy</x:v>
      </x:c>
      <x:c r="K7" t="str">
        <x:v>a8b2c610-429d-11dd-ae16-0800200c9a66</x:v>
      </x:c>
      <x:c r="L7" t="str">
        <x:v>Aerated concrete block, production mix, at plant, type P4 05 reinforced, average density 485 kg/m3</x:v>
      </x:c>
      <x:c r="M7" s="42" t="b">
        <x:v>1</x:v>
      </x:c>
      <x:c r="N7" s="42" t="b">
        <x:v>1</x:v>
      </x:c>
      <x:c r="O7" t="str">
        <x:v>ok</x:v>
      </x:c>
      <x:c r="P7" t="n">
        <x:v>7.242307357999834</x:v>
      </x:c>
      <x:c r="Q7" t="n">
        <x:v>100</x:v>
      </x:c>
      <x:c r="R7" s="42" t="b">
        <x:v>0</x:v>
      </x:c>
      <x:c r="S7" s="42" t="b">
        <x:v>0</x:v>
      </x:c>
      <x:c r="T7" t="n">
        <x:v>0.8667</x:v>
      </x:c>
      <x:c r="U7" t="n">
        <x:v>0</x:v>
      </x:c>
      <x:c r="V7" t="n">
        <x:v>0</x:v>
      </x:c>
      <x:c r="W7" s="42" t="b">
        <x:v>1</x:v>
      </x:c>
      <x:c r="X7" s="42" t="b">
        <x:v>1</x:v>
      </x:c>
      <x:c r="Y7"/>
      <x:c r="Z7" s="42" t="b">
        <x:v>0</x:v>
      </x:c>
      <x:c r="AA7" t="str">
        <x:v>898618b6-3306-11dd-bd11-0800200c9a66</x:v>
      </x:c>
      <x:c r="AB7" t="str">
        <x:v>Stonecrete Block</x:v>
      </x:c>
    </x:row>
    <x:row r="8">
      <x:c r="A8" t="str">
        <x:v>llama</x:v>
      </x:c>
      <x:c r="B8" t="str">
        <x:v>S07</x:v>
      </x:c>
      <x:c r="C8" t="str">
        <x:v>Stonecrete House</x:v>
      </x:c>
      <x:c r="D8" t="str">
        <x:v>Rebar TMT Fe500</x:v>
      </x:c>
      <x:c r="E8" t="str">
        <x:v>direct</x:v>
      </x:c>
      <x:c r="F8" s="42" t="b">
        <x:v>0</x:v>
      </x:c>
      <x:c r="G8" t="n">
        <x:v>1</x:v>
      </x:c>
      <x:c r="H8" t="n">
        <x:v>1</x:v>
      </x:c>
      <x:c r="I8" t="str">
        <x:v>Steel rebar</x:v>
      </x:c>
      <x:c r="J8" t="str">
        <x:v>direct</x:v>
      </x:c>
      <x:c r="K8" t="str">
        <x:v>268a11fb-baf2-4b9e-8867-38bea0e76ef6</x:v>
      </x:c>
      <x:c r="L8" t="str">
        <x:v>Steel rebar, production mix, at plant, blast furnace and electric arc furnace route,</x:v>
      </x:c>
      <x:c r="M8" s="42" t="b">
        <x:v>1</x:v>
      </x:c>
      <x:c r="N8" s="42" t="b">
        <x:v>1</x:v>
      </x:c>
      <x:c r="O8" t="str">
        <x:v>ok</x:v>
      </x:c>
      <x:c r="P8" t="n">
        <x:v>3.883935832000134</x:v>
      </x:c>
      <x:c r="Q8" t="n">
        <x:v>55</x:v>
      </x:c>
      <x:c r="R8" s="42" t="b">
        <x:v>0</x:v>
      </x:c>
      <x:c r="S8" s="42" t="b">
        <x:v>0</x:v>
      </x:c>
      <x:c r="T8" t="n">
        <x:v>0.625</x:v>
      </x:c>
      <x:c r="U8" t="n">
        <x:v>1</x:v>
      </x:c>
      <x:c r="V8" t="n">
        <x:v>1</x:v>
      </x:c>
      <x:c r="W8" s="42" t="b">
        <x:v>1</x:v>
      </x:c>
      <x:c r="X8" s="42" t="b">
        <x:v>1</x:v>
      </x:c>
      <x:c r="Y8"/>
      <x:c r="Z8" s="42" t="b">
        <x:v>0</x:v>
      </x:c>
      <x:c r="AA8" t="str">
        <x:v>268a11fb-baf2-4b9e-8867-38bea0e76ef6</x:v>
      </x:c>
      <x:c r="AB8" t="str">
        <x:v>Rebar</x:v>
      </x:c>
    </x:row>
    <x:row r="9">
      <x:c r="A9" t="str">
        <x:v>llama</x:v>
      </x:c>
      <x:c r="B9" t="str">
        <x:v>S08</x:v>
      </x:c>
      <x:c r="C9" t="str">
        <x:v>Stonecrete House</x:v>
      </x:c>
      <x:c r="D9" t="str">
        <x:v>Binding Wire (soft annealed, 18-gauge)</x:v>
      </x:c>
      <x:c r="E9" t="str">
        <x:v>proxy</x:v>
      </x:c>
      <x:c r="F9" s="42" t="b">
        <x:v>0</x:v>
      </x:c>
      <x:c r="G9" t="n">
        <x:v>0</x:v>
      </x:c>
      <x:c r="H9" t="n">
        <x:v>0</x:v>
      </x:c>
      <x:c r="I9" t="str">
        <x:v>Steel wire</x:v>
      </x:c>
      <x:c r="J9" t="str">
        <x:v>direct</x:v>
      </x:c>
      <x:c r="K9" t="str">
        <x:v>b0b413a1-2a7d-4cb5-a108-bfd7b37502e4</x:v>
      </x:c>
      <x:c r="L9" t="str">
        <x:v>Steel hot rolled coil, including recycling, production mix, at plant, blast furnace route, 1kg, typical thickness between 2 - 7 mm. typical width between 600 - 2100 mm</x:v>
      </x:c>
      <x:c r="M9" s="42" t="b">
        <x:v>1</x:v>
      </x:c>
      <x:c r="N9" s="42" t="b">
        <x:v>1</x:v>
      </x:c>
      <x:c r="O9" t="str">
        <x:v>ok</x:v>
      </x:c>
      <x:c r="P9" t="n">
        <x:v>4.093985640000028</x:v>
      </x:c>
      <x:c r="Q9" t="n">
        <x:v>55</x:v>
      </x:c>
      <x:c r="R9" s="42" t="b">
        <x:v>0</x:v>
      </x:c>
      <x:c r="S9" s="42" t="b">
        <x:v>0</x:v>
      </x:c>
      <x:c r="T9" t="n">
        <x:v>0.7143</x:v>
      </x:c>
      <x:c r="U9" t="n">
        <x:v>0</x:v>
      </x:c>
      <x:c r="V9"/>
      <x:c r="W9" s="42" t="b">
        <x:v>0</x:v>
      </x:c>
      <x:c r="X9" s="42" t="b">
        <x:v>1</x:v>
      </x:c>
      <x:c r="Y9"/>
      <x:c r="Z9" s="42" t="b">
        <x:v>0</x:v>
      </x:c>
      <x:c r="AA9" t="str">
        <x:v>09d61948-238a-40e7-8e1f-afdc0c98f902</x:v>
      </x:c>
      <x:c r="AB9" t="str">
        <x:v>Steel binding wire</x:v>
      </x:c>
    </x:row>
    <x:row r="10">
      <x:c r="A10" t="str">
        <x:v>llama</x:v>
      </x:c>
      <x:c r="B10" t="str">
        <x:v>S09</x:v>
      </x:c>
      <x:c r="C10" t="str">
        <x:v>Stonecrete House</x:v>
      </x:c>
      <x:c r="D10" t="str">
        <x:v>Corrugated Galvanized Iron (CGI) Sheet, 0.45 mm BMT</x:v>
      </x:c>
      <x:c r="E10" t="str">
        <x:v>proxy</x:v>
      </x:c>
      <x:c r="F10" s="42" t="b">
        <x:v>0</x:v>
      </x:c>
      <x:c r="G10" t="n">
        <x:v>1</x:v>
      </x:c>
      <x:c r="H10" t="n">
        <x:v>0</x:v>
      </x:c>
      <x:c r="I10" t="str">
        <x:v>Galvanized Steel Sheet</x:v>
      </x:c>
      <x:c r="J10" t="str">
        <x:v>direct</x:v>
      </x:c>
      <x:c r="K10" t="str">
        <x:v>7dcb51ef-2d85-481c-b943-3b148d9f6500</x:v>
      </x:c>
      <x:c r="L10" t="str">
        <x:v>Steel hot dip galvanized, including recycling, production mix, at plant, blast furnace route, 1kg, typical thickness between 0.3 - 3 mm. typical width between 600 - 2100 mm.</x:v>
      </x:c>
      <x:c r="M10" s="42" t="b">
        <x:v>1</x:v>
      </x:c>
      <x:c r="N10" s="42" t="b">
        <x:v>1</x:v>
      </x:c>
      <x:c r="O10" t="str">
        <x:v>ok</x:v>
      </x:c>
      <x:c r="P10" t="n">
        <x:v>5.783623618000092</x:v>
      </x:c>
      <x:c r="Q10" t="n">
        <x:v>76</x:v>
      </x:c>
      <x:c r="R10" s="42" t="b">
        <x:v>0</x:v>
      </x:c>
      <x:c r="S10" s="42" t="b">
        <x:v>0</x:v>
      </x:c>
      <x:c r="T10" t="n">
        <x:v>0.8</x:v>
      </x:c>
      <x:c r="U10" t="n">
        <x:v>0</x:v>
      </x:c>
      <x:c r="V10" t="n">
        <x:v>0</x:v>
      </x:c>
      <x:c r="W10" s="42" t="b">
        <x:v>0</x:v>
      </x:c>
      <x:c r="X10" s="42" t="b">
        <x:v>1</x:v>
      </x:c>
      <x:c r="Y10"/>
      <x:c r="Z10" s="42" t="b">
        <x:v>0</x:v>
      </x:c>
      <x:c r="AA10" t="str">
        <x:v>339b2536-c881-409d-ac71-49ab0d228fe3</x:v>
      </x:c>
      <x:c r="AB10" t="str">
        <x:v>Corrugated galvanized steel sheet</x:v>
      </x:c>
    </x:row>
    <x:row r="11">
      <x:c r="A11" t="str">
        <x:v>llama</x:v>
      </x:c>
      <x:c r="B11" t="str">
        <x:v>S10</x:v>
      </x:c>
      <x:c r="C11" t="str">
        <x:v>Stonecrete House</x:v>
      </x:c>
      <x:c r="D11" t="str">
        <x:v>Timber for purlin, rafter, and column post</x:v>
      </x:c>
      <x:c r="E11" t="str">
        <x:v>proxy</x:v>
      </x:c>
      <x:c r="F11" s="42" t="b">
        <x:v>0</x:v>
      </x:c>
      <x:c r="G11" t="n">
        <x:v>1</x:v>
      </x:c>
      <x:c r="H11" t="n">
        <x:v>0</x:v>
      </x:c>
      <x:c r="I11" t="str">
        <x:v>Timber</x:v>
      </x:c>
      <x:c r="J11" t="str">
        <x:v>direct</x:v>
      </x:c>
      <x:c r="K11" t="str">
        <x:v>2b61a4d6-bd1d-4ea3-828c-fdbdf5fca1f9</x:v>
      </x:c>
      <x:c r="L11" t="str">
        <x:v>Spruce wood, production mix, at saw mill, timber, 40% water content</x:v>
      </x:c>
      <x:c r="M11" s="42" t="b">
        <x:v>1</x:v>
      </x:c>
      <x:c r="N11" s="42" t="b">
        <x:v>1</x:v>
      </x:c>
      <x:c r="O11" t="str">
        <x:v>ok</x:v>
      </x:c>
      <x:c r="P11" t="n">
        <x:v>5.477031890999797</x:v>
      </x:c>
      <x:c r="Q11" t="n">
        <x:v>80</x:v>
      </x:c>
      <x:c r="R11" s="42" t="b">
        <x:v>0</x:v>
      </x:c>
      <x:c r="S11" s="42" t="b">
        <x:v>1</x:v>
      </x:c>
      <x:c r="T11" t="n">
        <x:v>1</x:v>
      </x:c>
      <x:c r="U11" t="n">
        <x:v>1</x:v>
      </x:c>
      <x:c r="V11" t="n">
        <x:v>1</x:v>
      </x:c>
      <x:c r="W11" s="42" t="b">
        <x:v>0</x:v>
      </x:c>
      <x:c r="X11" s="42" t="b">
        <x:v>1</x:v>
      </x:c>
      <x:c r="Y11"/>
      <x:c r="Z11" s="42" t="b">
        <x:v>0</x:v>
      </x:c>
      <x:c r="AA11" t="str">
        <x:v>2b61a4d6-bd1d-4ea3-828c-fdbdf5fca1f9</x:v>
      </x:c>
      <x:c r="AB11" t="str">
        <x:v>Timber</x:v>
      </x:c>
    </x:row>
    <x:row r="12">
      <x:c r="A12" t="str">
        <x:v>llama</x:v>
      </x:c>
      <x:c r="B12" t="str">
        <x:v>S11</x:v>
      </x:c>
      <x:c r="C12" t="str">
        <x:v>Stonecrete House</x:v>
      </x:c>
      <x:c r="D12" t="str">
        <x:v>Plaster 1:4 — External Walls, 15 mm thick</x:v>
      </x:c>
      <x:c r="E12" t="str">
        <x:v>review_required</x:v>
      </x:c>
      <x:c r="F12" s="42" t="b">
        <x:v>1</x:v>
      </x:c>
      <x:c r="G12"/>
      <x:c r="H12"/>
      <x:c r="I12" t="str">
        <x:v>plaster</x:v>
      </x:c>
      <x:c r="J12" t="str">
        <x:v>direct</x:v>
      </x:c>
      <x:c r="K12" t="str">
        <x:v>da78eea3-ead1-4379-80af-14a991a2a746</x:v>
      </x:c>
      <x:c r="L12" t="str">
        <x:v>Porocalce plaster production, Production mix at plant - Southern Italy, Porocalce plaster - Milling and mixing of sand, perlite, expanded glass, calcium hydroxide, 1 kg, Plaster</x:v>
      </x:c>
      <x:c r="M12" s="42" t="b">
        <x:v>1</x:v>
      </x:c>
      <x:c r="N12" s="42" t="b">
        <x:v>1</x:v>
      </x:c>
      <x:c r="O12" t="str">
        <x:v>ok</x:v>
      </x:c>
      <x:c r="P12" t="n">
        <x:v>4.420765053999958</x:v>
      </x:c>
      <x:c r="Q12" t="n">
        <x:v>51</x:v>
      </x:c>
      <x:c r="R12" s="42" t="b">
        <x:v>0</x:v>
      </x:c>
      <x:c r="S12" s="42" t="b">
        <x:v>0</x:v>
      </x:c>
      <x:c r="T12" t="n">
        <x:v>0.5385</x:v>
      </x:c>
      <x:c r="U12"/>
      <x:c r="V12"/>
      <x:c r="W12" s="42" t="b">
        <x:v>0</x:v>
      </x:c>
      <x:c r="X12" s="42" t="b">
        <x:v>0</x:v>
      </x:c>
      <x:c r="Y12" t="n">
        <x:v>0</x:v>
      </x:c>
      <x:c r="Z12" s="42" t="b">
        <x:v>0</x:v>
      </x:c>
      <x:c r="AA12"/>
      <x:c r="AB12" t="str">
        <x:v>Cement-sand plaster</x:v>
      </x:c>
    </x:row>
    <x:row r="13">
      <x:c r="A13" t="str">
        <x:v>llama</x:v>
      </x:c>
      <x:c r="B13" t="str">
        <x:v>S12</x:v>
      </x:c>
      <x:c r="C13" t="str">
        <x:v>Stonecrete House</x:v>
      </x:c>
      <x:c r="D13" t="str">
        <x:v>Plaster 1:6 — Internal Walls, 12 mm thick</x:v>
      </x:c>
      <x:c r="E13" t="str">
        <x:v>review_required</x:v>
      </x:c>
      <x:c r="F13" s="42" t="b">
        <x:v>1</x:v>
      </x:c>
      <x:c r="G13"/>
      <x:c r="H13"/>
      <x:c r="I13" t="str">
        <x:v>Plaster</x:v>
      </x:c>
      <x:c r="J13" t="str">
        <x:v>direct</x:v>
      </x:c>
      <x:c r="K13" t="str">
        <x:v>cc39e70e-4a40-42b6-89e3-7305f0b95dc4</x:v>
      </x:c>
      <x:c r="L13" t="str">
        <x:v>Gypsum plasterboard, production mix at factory, technology mix of plasterboard production, 12.5 mm thick, 10kg/m2</x:v>
      </x:c>
      <x:c r="M13" s="42" t="b">
        <x:v>1</x:v>
      </x:c>
      <x:c r="N13" s="42" t="b">
        <x:v>1</x:v>
      </x:c>
      <x:c r="O13" t="str">
        <x:v>ok</x:v>
      </x:c>
      <x:c r="P13" t="n">
        <x:v>4.228856169999972</x:v>
      </x:c>
      <x:c r="Q13" t="n">
        <x:v>56</x:v>
      </x:c>
      <x:c r="R13" s="42" t="b">
        <x:v>0</x:v>
      </x:c>
      <x:c r="S13" s="42" t="b">
        <x:v>0</x:v>
      </x:c>
      <x:c r="T13" t="n">
        <x:v>0.5385</x:v>
      </x:c>
      <x:c r="U13"/>
      <x:c r="V13"/>
      <x:c r="W13" s="42" t="b">
        <x:v>0</x:v>
      </x:c>
      <x:c r="X13" s="42" t="b">
        <x:v>0</x:v>
      </x:c>
      <x:c r="Y13" t="n">
        <x:v>0</x:v>
      </x:c>
      <x:c r="Z13" s="42" t="b">
        <x:v>0</x:v>
      </x:c>
      <x:c r="AA13"/>
      <x:c r="AB13" t="str">
        <x:v>Cement-sand plaster</x:v>
      </x:c>
    </x:row>
    <x:row r="14">
      <x:c r="A14" t="str">
        <x:v>llama</x:v>
      </x:c>
      <x:c r="B14" t="str">
        <x:v>B01</x:v>
      </x:c>
      <x:c r="C14" t="str">
        <x:v>Bamboo House</x:v>
      </x:c>
      <x:c r="D14" t="str">
        <x:v>Cement</x:v>
      </x:c>
      <x:c r="E14" t="str">
        <x:v>direct</x:v>
      </x:c>
      <x:c r="F14" s="42" t="b">
        <x:v>0</x:v>
      </x:c>
      <x:c r="G14" t="n">
        <x:v>1</x:v>
      </x:c>
      <x:c r="H14" t="n">
        <x:v>1</x:v>
      </x:c>
      <x:c r="I14" t="str">
        <x:v>cement</x:v>
      </x:c>
      <x:c r="J14" t="str">
        <x:v>proxy</x:v>
      </x:c>
      <x:c r="K14" t="str">
        <x:v>898618b7-3306-11dd-bd11-0800200c9a66</x:v>
      </x:c>
      <x:c r="L14" t="str">
        <x:v>Calcium silicate, production mix, at plant, blocks and elements, density 1400 to 2000 kg/m3</x:v>
      </x:c>
      <x:c r="M14" s="42" t="b">
        <x:v>1</x:v>
      </x:c>
      <x:c r="N14" s="42" t="b">
        <x:v>1</x:v>
      </x:c>
      <x:c r="O14" t="str">
        <x:v>ok</x:v>
      </x:c>
      <x:c r="P14" t="n">
        <x:v>5.280146441999932</x:v>
      </x:c>
      <x:c r="Q14" t="n">
        <x:v>74</x:v>
      </x:c>
      <x:c r="R14" s="42" t="b">
        <x:v>0</x:v>
      </x:c>
      <x:c r="S14" s="42" t="b">
        <x:v>1</x:v>
      </x:c>
      <x:c r="T14" t="n">
        <x:v>1</x:v>
      </x:c>
      <x:c r="U14" t="n">
        <x:v>0</x:v>
      </x:c>
      <x:c r="V14" t="n">
        <x:v>0</x:v>
      </x:c>
      <x:c r="W14" s="42" t="b">
        <x:v>0</x:v>
      </x:c>
      <x:c r="X14" s="42" t="b">
        <x:v>1</x:v>
      </x:c>
      <x:c r="Y14"/>
      <x:c r="Z14" s="42" t="b">
        <x:v>0</x:v>
      </x:c>
      <x:c r="AA14" t="str">
        <x:v>600573dd-dfa5-44e5-b458-8727e793ffd7</x:v>
      </x:c>
      <x:c r="AB14" t="str">
        <x:v>Cement</x:v>
      </x:c>
    </x:row>
    <x:row r="15">
      <x:c r="A15" t="str">
        <x:v>llama</x:v>
      </x:c>
      <x:c r="B15" t="str">
        <x:v>B02</x:v>
      </x:c>
      <x:c r="C15" t="str">
        <x:v>Bamboo House</x:v>
      </x:c>
      <x:c r="D15" t="str">
        <x:v>Sand</x:v>
      </x:c>
      <x:c r="E15" t="str">
        <x:v>direct</x:v>
      </x:c>
      <x:c r="F15" s="42" t="b">
        <x:v>0</x:v>
      </x:c>
      <x:c r="G15" t="n">
        <x:v>1</x:v>
      </x:c>
      <x:c r="H15" t="n">
        <x:v>1</x:v>
      </x:c>
      <x:c r="I15" t="str">
        <x:v>silica sand</x:v>
      </x:c>
      <x:c r="J15" t="str">
        <x:v>proxy</x:v>
      </x:c>
      <x:c r="K15" t="str">
        <x:v>89863fce-3306-11dd-bd11-0800200c9a66</x:v>
      </x:c>
      <x:c r="L15" t="str">
        <x:v>Landfill of paper waste, at landfill site, landfill including landfill gas utilisation and leachate treatment and without collection, transport and   pre-treatment</x:v>
      </x:c>
      <x:c r="M15" s="42" t="b">
        <x:v>1</x:v>
      </x:c>
      <x:c r="N15" s="42" t="b">
        <x:v>1</x:v>
      </x:c>
      <x:c r="O15" t="str">
        <x:v>ok</x:v>
      </x:c>
      <x:c r="P15" t="n">
        <x:v>7.299879616999988</x:v>
      </x:c>
      <x:c r="Q15" t="n">
        <x:v>100</x:v>
      </x:c>
      <x:c r="R15" s="42" t="b">
        <x:v>0</x:v>
      </x:c>
      <x:c r="S15" s="42" t="b">
        <x:v>0</x:v>
      </x:c>
      <x:c r="T15" t="n">
        <x:v>0.5333</x:v>
      </x:c>
      <x:c r="U15" t="n">
        <x:v>0</x:v>
      </x:c>
      <x:c r="V15" t="n">
        <x:v>0</x:v>
      </x:c>
      <x:c r="W15" s="42" t="b">
        <x:v>0</x:v>
      </x:c>
      <x:c r="X15" s="42" t="b">
        <x:v>1</x:v>
      </x:c>
      <x:c r="Y15"/>
      <x:c r="Z15" s="42" t="b">
        <x:v>0</x:v>
      </x:c>
      <x:c r="AA15" t="str">
        <x:v>898618b1-3306-11dd-bd11-0800200c9a66</x:v>
      </x:c>
      <x:c r="AB15" t="str">
        <x:v>Sand</x:v>
      </x:c>
    </x:row>
    <x:row r="16">
      <x:c r="A16" t="str">
        <x:v>llama</x:v>
      </x:c>
      <x:c r="B16" t="str">
        <x:v>B03</x:v>
      </x:c>
      <x:c r="C16" t="str">
        <x:v>Bamboo House</x:v>
      </x:c>
      <x:c r="D16" t="str">
        <x:v>Natural Gravel</x:v>
      </x:c>
      <x:c r="E16" t="str">
        <x:v>direct</x:v>
      </x:c>
      <x:c r="F16" s="42" t="b">
        <x:v>0</x:v>
      </x:c>
      <x:c r="G16" t="n">
        <x:v>1</x:v>
      </x:c>
      <x:c r="H16" t="n">
        <x:v>0</x:v>
      </x:c>
      <x:c r="I16" t="str">
        <x:v>Gravel</x:v>
      </x:c>
      <x:c r="J16" t="str">
        <x:v>direct</x:v>
      </x:c>
      <x:c r="K16" t="str">
        <x:v>898618b2-3306-11dd-bd11-0800200c9a66</x:v>
      </x:c>
      <x:c r="L16" t="str">
        <x:v>Gravel 2/32, production mix, at plant, wet and dry quarry, undried</x:v>
      </x:c>
      <x:c r="M16" s="42" t="b">
        <x:v>1</x:v>
      </x:c>
      <x:c r="N16" s="42" t="b">
        <x:v>1</x:v>
      </x:c>
      <x:c r="O16" t="str">
        <x:v>ok</x:v>
      </x:c>
      <x:c r="P16" t="n">
        <x:v>3.853643825000063</x:v>
      </x:c>
      <x:c r="Q16" t="n">
        <x:v>51</x:v>
      </x:c>
      <x:c r="R16" s="42" t="b">
        <x:v>0</x:v>
      </x:c>
      <x:c r="S16" s="42" t="b">
        <x:v>1</x:v>
      </x:c>
      <x:c r="T16" t="n">
        <x:v>1</x:v>
      </x:c>
      <x:c r="U16" t="n">
        <x:v>1</x:v>
      </x:c>
      <x:c r="V16" t="n">
        <x:v>1</x:v>
      </x:c>
      <x:c r="W16" s="42" t="b">
        <x:v>1</x:v>
      </x:c>
      <x:c r="X16" s="42" t="b">
        <x:v>1</x:v>
      </x:c>
      <x:c r="Y16"/>
      <x:c r="Z16" s="42" t="b">
        <x:v>1</x:v>
      </x:c>
      <x:c r="AA16" t="str">
        <x:v>898618b2-3306-11dd-bd11-0800200c9a66</x:v>
      </x:c>
      <x:c r="AB16" t="str">
        <x:v>Gravel</x:v>
      </x:c>
    </x:row>
    <x:row r="17">
      <x:c r="A17" t="str">
        <x:v>llama</x:v>
      </x:c>
      <x:c r="B17" t="str">
        <x:v>B04</x:v>
      </x:c>
      <x:c r="C17" t="str">
        <x:v>Bamboo House</x:v>
      </x:c>
      <x:c r="D17" t="str">
        <x:v>Stone</x:v>
      </x:c>
      <x:c r="E17" t="str">
        <x:v>proxy</x:v>
      </x:c>
      <x:c r="F17" s="42" t="b">
        <x:v>0</x:v>
      </x:c>
      <x:c r="G17" t="n">
        <x:v>1</x:v>
      </x:c>
      <x:c r="H17" t="n">
        <x:v>0</x:v>
      </x:c>
      <x:c r="I17" t="str">
        <x:v>stone</x:v>
      </x:c>
      <x:c r="J17" t="str">
        <x:v>proxy</x:v>
      </x:c>
      <x:c r="K17" t="str">
        <x:v>898618b3-3306-11dd-bd11-0800200c9a66</x:v>
      </x:c>
      <x:c r="L17" t="str">
        <x:v>Crushed stone 16/32, production mix, at plant, open pit mining, undried</x:v>
      </x:c>
      <x:c r="M17" s="42" t="b">
        <x:v>1</x:v>
      </x:c>
      <x:c r="N17" s="42" t="b">
        <x:v>1</x:v>
      </x:c>
      <x:c r="O17" t="str">
        <x:v>ok</x:v>
      </x:c>
      <x:c r="P17" t="n">
        <x:v>6.246537267000122</x:v>
      </x:c>
      <x:c r="Q17" t="n">
        <x:v>78</x:v>
      </x:c>
      <x:c r="R17" s="42" t="b">
        <x:v>0</x:v>
      </x:c>
      <x:c r="S17" s="42" t="b">
        <x:v>1</x:v>
      </x:c>
      <x:c r="T17" t="n">
        <x:v>1</x:v>
      </x:c>
      <x:c r="U17" t="n">
        <x:v>1</x:v>
      </x:c>
      <x:c r="V17" t="n">
        <x:v>1</x:v>
      </x:c>
      <x:c r="W17" s="42" t="b">
        <x:v>1</x:v>
      </x:c>
      <x:c r="X17" s="42" t="b">
        <x:v>1</x:v>
      </x:c>
      <x:c r="Y17"/>
      <x:c r="Z17" s="42" t="b">
        <x:v>1</x:v>
      </x:c>
      <x:c r="AA17" t="str">
        <x:v>898618b3-3306-11dd-bd11-0800200c9a66</x:v>
      </x:c>
      <x:c r="AB17" t="str">
        <x:v>Stone</x:v>
      </x:c>
    </x:row>
    <x:row r="18">
      <x:c r="A18" t="str">
        <x:v>llama</x:v>
      </x:c>
      <x:c r="B18" t="str">
        <x:v>B05</x:v>
      </x:c>
      <x:c r="C18" t="str">
        <x:v>Bamboo House</x:v>
      </x:c>
      <x:c r="D18" t="str">
        <x:v>Soil</x:v>
      </x:c>
      <x:c r="E18" t="str">
        <x:v>review_required</x:v>
      </x:c>
      <x:c r="F18" s="42" t="b">
        <x:v>1</x:v>
      </x:c>
      <x:c r="G18"/>
      <x:c r="H18"/>
      <x:c r="I18" t="str">
        <x:v>soil</x:v>
      </x:c>
      <x:c r="J18" t="str">
        <x:v>direct</x:v>
      </x:c>
      <x:c r="K18" t="str">
        <x:v>50462b0d-7d2b-40d4-843e-9857061e3c08</x:v>
      </x:c>
      <x:c r="L18" t="str">
        <x:v>Heavy fuel oil, consumption mix, at refinery, from crude oil</x:v>
      </x:c>
      <x:c r="M18" s="42" t="b">
        <x:v>1</x:v>
      </x:c>
      <x:c r="N18" s="42" t="b">
        <x:v>1</x:v>
      </x:c>
      <x:c r="O18" t="str">
        <x:v>ok</x:v>
      </x:c>
      <x:c r="P18" t="n">
        <x:v>4.110941943999933</x:v>
      </x:c>
      <x:c r="Q18" t="n">
        <x:v>55</x:v>
      </x:c>
      <x:c r="R18" s="42" t="b">
        <x:v>0</x:v>
      </x:c>
      <x:c r="S18" s="42" t="b">
        <x:v>1</x:v>
      </x:c>
      <x:c r="T18" t="n">
        <x:v>1</x:v>
      </x:c>
      <x:c r="U18"/>
      <x:c r="V18"/>
      <x:c r="W18" s="42" t="b">
        <x:v>0</x:v>
      </x:c>
      <x:c r="X18" s="42" t="b">
        <x:v>0</x:v>
      </x:c>
      <x:c r="Y18" t="n">
        <x:v>0</x:v>
      </x:c>
      <x:c r="Z18" s="42" t="b">
        <x:v>0</x:v>
      </x:c>
      <x:c r="AA18"/>
      <x:c r="AB18" t="str">
        <x:v>Soil</x:v>
      </x:c>
    </x:row>
    <x:row r="19">
      <x:c r="A19" t="str">
        <x:v>llama</x:v>
      </x:c>
      <x:c r="B19" t="str">
        <x:v>B06</x:v>
      </x:c>
      <x:c r="C19" t="str">
        <x:v>Bamboo House</x:v>
      </x:c>
      <x:c r="D19" t="str">
        <x:v>Local Wood</x:v>
      </x:c>
      <x:c r="E19" t="str">
        <x:v>proxy</x:v>
      </x:c>
      <x:c r="F19" s="42" t="b">
        <x:v>0</x:v>
      </x:c>
      <x:c r="G19" t="n">
        <x:v>1</x:v>
      </x:c>
      <x:c r="H19" t="n">
        <x:v>0</x:v>
      </x:c>
      <x:c r="I19" t="str">
        <x:v>Wood</x:v>
      </x:c>
      <x:c r="J19" t="str">
        <x:v>direct</x:v>
      </x:c>
      <x:c r="K19" t="str">
        <x:v>2b61a4d6-bd1d-4ea3-828c-fdbdf5fca1f9</x:v>
      </x:c>
      <x:c r="L19" t="str">
        <x:v>Spruce wood, production mix, at saw mill, timber, 40% water content</x:v>
      </x:c>
      <x:c r="M19" s="42" t="b">
        <x:v>1</x:v>
      </x:c>
      <x:c r="N19" s="42" t="b">
        <x:v>1</x:v>
      </x:c>
      <x:c r="O19" t="str">
        <x:v>ok</x:v>
      </x:c>
      <x:c r="P19" t="n">
        <x:v>6.092080117000023</x:v>
      </x:c>
      <x:c r="Q19" t="n">
        <x:v>79</x:v>
      </x:c>
      <x:c r="R19" s="42" t="b">
        <x:v>0</x:v>
      </x:c>
      <x:c r="S19" s="42" t="b">
        <x:v>1</x:v>
      </x:c>
      <x:c r="T19" t="n">
        <x:v>1</x:v>
      </x:c>
      <x:c r="U19" t="n">
        <x:v>1</x:v>
      </x:c>
      <x:c r="V19" t="n">
        <x:v>1</x:v>
      </x:c>
      <x:c r="W19" s="42" t="b">
        <x:v>0</x:v>
      </x:c>
      <x:c r="X19" s="42" t="b">
        <x:v>1</x:v>
      </x:c>
      <x:c r="Y19"/>
      <x:c r="Z19" s="42" t="b">
        <x:v>0</x:v>
      </x:c>
      <x:c r="AA19" t="str">
        <x:v>2b61a4d6-bd1d-4ea3-828c-fdbdf5fca1f9</x:v>
      </x:c>
      <x:c r="AB19" t="str">
        <x:v>Wood</x:v>
      </x:c>
    </x:row>
    <x:row r="20">
      <x:c r="A20" t="str">
        <x:v>llama</x:v>
      </x:c>
      <x:c r="B20" t="str">
        <x:v>B07</x:v>
      </x:c>
      <x:c r="C20" t="str">
        <x:v>Bamboo House</x:v>
      </x:c>
      <x:c r="D20" t="str">
        <x:v>19mm Plywood</x:v>
      </x:c>
      <x:c r="E20" t="str">
        <x:v>proxy</x:v>
      </x:c>
      <x:c r="F20" s="42" t="b">
        <x:v>0</x:v>
      </x:c>
      <x:c r="G20" t="n">
        <x:v>0</x:v>
      </x:c>
      <x:c r="H20" t="n">
        <x:v>0</x:v>
      </x:c>
      <x:c r="I20" t="str">
        <x:v>Plywood</x:v>
      </x:c>
      <x:c r="J20" t="str">
        <x:v>direct</x:v>
      </x:c>
      <x:c r="K20" t="str">
        <x:v>39f61d7a-9cea-4e61-b292-50ad6ee05ccc</x:v>
      </x:c>
      <x:c r="L20" t="str">
        <x:v>Waste incineration of wood products (OSB, particle board), at plant, average European waste-to-energy plant, without collection, transport and pre-treatment</x:v>
      </x:c>
      <x:c r="M20" s="42" t="b">
        <x:v>1</x:v>
      </x:c>
      <x:c r="N20" s="42" t="b">
        <x:v>1</x:v>
      </x:c>
      <x:c r="O20" t="str">
        <x:v>ok</x:v>
      </x:c>
      <x:c r="P20" t="n">
        <x:v>3.920607959000108</x:v>
      </x:c>
      <x:c r="Q20" t="n">
        <x:v>53</x:v>
      </x:c>
      <x:c r="R20" s="42" t="b">
        <x:v>0</x:v>
      </x:c>
      <x:c r="S20" s="42" t="b">
        <x:v>1</x:v>
      </x:c>
      <x:c r="T20" t="n">
        <x:v>1</x:v>
      </x:c>
      <x:c r="U20" t="n">
        <x:v>0</x:v>
      </x:c>
      <x:c r="V20"/>
      <x:c r="W20" s="42" t="b">
        <x:v>0</x:v>
      </x:c>
      <x:c r="X20" s="42" t="b">
        <x:v>1</x:v>
      </x:c>
      <x:c r="Y20"/>
      <x:c r="Z20" s="42" t="b">
        <x:v>0</x:v>
      </x:c>
      <x:c r="AA20" t="str">
        <x:v>f7e0f0fd-fb6b-40b5-9300-bddba423e084</x:v>
      </x:c>
      <x:c r="AB20" t="str">
        <x:v>Plywood</x:v>
      </x:c>
    </x:row>
    <x:row r="21">
      <x:c r="A21" t="str">
        <x:v>llama</x:v>
      </x:c>
      <x:c r="B21" t="str">
        <x:v>B08</x:v>
      </x:c>
      <x:c r="C21" t="str">
        <x:v>Bamboo House</x:v>
      </x:c>
      <x:c r="D21" t="str">
        <x:v>Nail</x:v>
      </x:c>
      <x:c r="E21" t="str">
        <x:v>proxy</x:v>
      </x:c>
      <x:c r="F21" s="42" t="b">
        <x:v>0</x:v>
      </x:c>
      <x:c r="G21" t="n">
        <x:v>0</x:v>
      </x:c>
      <x:c r="H21" t="n">
        <x:v>0</x:v>
      </x:c>
      <x:c r="I21" t="str">
        <x:v>Steel</x:v>
      </x:c>
      <x:c r="J21" t="str">
        <x:v>direct</x:v>
      </x:c>
      <x:c r="K21" t="str">
        <x:v>9d66aabb-906f-45f6-b3f3-6d002cae096d</x:v>
      </x:c>
      <x:c r="L21" t="str">
        <x:v>Rail transport, technology mix, electricity driven, cargo</x:v>
      </x:c>
      <x:c r="M21" s="42" t="b">
        <x:v>1</x:v>
      </x:c>
      <x:c r="N21" s="42" t="b">
        <x:v>1</x:v>
      </x:c>
      <x:c r="O21" t="str">
        <x:v>ok</x:v>
      </x:c>
      <x:c r="P21" t="n">
        <x:v>7.072653704999993</x:v>
      </x:c>
      <x:c r="Q21" t="n">
        <x:v>101</x:v>
      </x:c>
      <x:c r="R21" s="42" t="b">
        <x:v>0</x:v>
      </x:c>
      <x:c r="S21" s="42" t="b">
        <x:v>0</x:v>
      </x:c>
      <x:c r="T21" t="n">
        <x:v>0.6667</x:v>
      </x:c>
      <x:c r="U21" t="n">
        <x:v>0</x:v>
      </x:c>
      <x:c r="V21"/>
      <x:c r="W21" s="42" t="b">
        <x:v>0</x:v>
      </x:c>
      <x:c r="X21" s="42" t="b">
        <x:v>1</x:v>
      </x:c>
      <x:c r="Y21"/>
      <x:c r="Z21" s="42" t="b">
        <x:v>0</x:v>
      </x:c>
      <x:c r="AA21" t="str">
        <x:v>09d61948-238a-40e7-8e1f-afdc0c98f902</x:v>
      </x:c>
      <x:c r="AB21" t="str">
        <x:v>Steel nail</x:v>
      </x:c>
    </x:row>
    <x:row r="22">
      <x:c r="A22" t="str">
        <x:v>llama</x:v>
      </x:c>
      <x:c r="B22" t="str">
        <x:v>B09</x:v>
      </x:c>
      <x:c r="C22" t="str">
        <x:v>Bamboo House</x:v>
      </x:c>
      <x:c r="D22" t="str">
        <x:v>10mm Rebar</x:v>
      </x:c>
      <x:c r="E22" t="str">
        <x:v>direct</x:v>
      </x:c>
      <x:c r="F22" s="42" t="b">
        <x:v>0</x:v>
      </x:c>
      <x:c r="G22" t="n">
        <x:v>1</x:v>
      </x:c>
      <x:c r="H22" t="n">
        <x:v>1</x:v>
      </x:c>
      <x:c r="I22" t="str">
        <x:v>Steel rebar</x:v>
      </x:c>
      <x:c r="J22" t="str">
        <x:v>direct</x:v>
      </x:c>
      <x:c r="K22" t="str">
        <x:v>268a11fb-baf2-4b9e-8867-38bea0e76ef6</x:v>
      </x:c>
      <x:c r="L22" t="str">
        <x:v>Steel rebar, production mix, at plant, blast furnace and electric arc furnace route,</x:v>
      </x:c>
      <x:c r="M22" s="42" t="b">
        <x:v>1</x:v>
      </x:c>
      <x:c r="N22" s="42" t="b">
        <x:v>1</x:v>
      </x:c>
      <x:c r="O22" t="str">
        <x:v>ok</x:v>
      </x:c>
      <x:c r="P22" t="n">
        <x:v>4.065713716000118</x:v>
      </x:c>
      <x:c r="Q22" t="n">
        <x:v>55</x:v>
      </x:c>
      <x:c r="R22" s="42" t="b">
        <x:v>0</x:v>
      </x:c>
      <x:c r="S22" s="42" t="b">
        <x:v>0</x:v>
      </x:c>
      <x:c r="T22" t="n">
        <x:v>0.625</x:v>
      </x:c>
      <x:c r="U22" t="n">
        <x:v>1</x:v>
      </x:c>
      <x:c r="V22" t="n">
        <x:v>1</x:v>
      </x:c>
      <x:c r="W22" s="42" t="b">
        <x:v>1</x:v>
      </x:c>
      <x:c r="X22" s="42" t="b">
        <x:v>1</x:v>
      </x:c>
      <x:c r="Y22"/>
      <x:c r="Z22" s="42" t="b">
        <x:v>0</x:v>
      </x:c>
      <x:c r="AA22" t="str">
        <x:v>268a11fb-baf2-4b9e-8867-38bea0e76ef6</x:v>
      </x:c>
      <x:c r="AB22" t="str">
        <x:v>Rebar</x:v>
      </x:c>
    </x:row>
    <x:row r="23">
      <x:c r="A23" t="str">
        <x:v>llama</x:v>
      </x:c>
      <x:c r="B23" t="str">
        <x:v>B10</x:v>
      </x:c>
      <x:c r="C23" t="str">
        <x:v>Bamboo House</x:v>
      </x:c>
      <x:c r="D23" t="str">
        <x:v>7mm Rebar</x:v>
      </x:c>
      <x:c r="E23" t="str">
        <x:v>direct</x:v>
      </x:c>
      <x:c r="F23" s="42" t="b">
        <x:v>0</x:v>
      </x:c>
      <x:c r="G23" t="n">
        <x:v>1</x:v>
      </x:c>
      <x:c r="H23" t="n">
        <x:v>1</x:v>
      </x:c>
      <x:c r="I23" t="str">
        <x:v>Steel rebar</x:v>
      </x:c>
      <x:c r="J23" t="str">
        <x:v>direct</x:v>
      </x:c>
      <x:c r="K23" t="str">
        <x:v>268a11fb-baf2-4b9e-8867-38bea0e76ef6</x:v>
      </x:c>
      <x:c r="L23" t="str">
        <x:v>Steel rebar, production mix, at plant, blast furnace and electric arc furnace route,</x:v>
      </x:c>
      <x:c r="M23" s="42" t="b">
        <x:v>1</x:v>
      </x:c>
      <x:c r="N23" s="42" t="b">
        <x:v>1</x:v>
      </x:c>
      <x:c r="O23" t="str">
        <x:v>ok</x:v>
      </x:c>
      <x:c r="P23" t="n">
        <x:v>4.059854776000066</x:v>
      </x:c>
      <x:c r="Q23" t="n">
        <x:v>55</x:v>
      </x:c>
      <x:c r="R23" s="42" t="b">
        <x:v>0</x:v>
      </x:c>
      <x:c r="S23" s="42" t="b">
        <x:v>0</x:v>
      </x:c>
      <x:c r="T23" t="n">
        <x:v>0.625</x:v>
      </x:c>
      <x:c r="U23" t="n">
        <x:v>1</x:v>
      </x:c>
      <x:c r="V23" t="n">
        <x:v>1</x:v>
      </x:c>
      <x:c r="W23" s="42" t="b">
        <x:v>1</x:v>
      </x:c>
      <x:c r="X23" s="42" t="b">
        <x:v>1</x:v>
      </x:c>
      <x:c r="Y23"/>
      <x:c r="Z23" s="42" t="b">
        <x:v>0</x:v>
      </x:c>
      <x:c r="AA23" t="str">
        <x:v>268a11fb-baf2-4b9e-8867-38bea0e76ef6</x:v>
      </x:c>
      <x:c r="AB23" t="str">
        <x:v>Rebar</x:v>
      </x:c>
    </x:row>
    <x:row r="24">
      <x:c r="A24" t="str">
        <x:v>llama</x:v>
      </x:c>
      <x:c r="B24" t="str">
        <x:v>B11</x:v>
      </x:c>
      <x:c r="C24" t="str">
        <x:v>Bamboo House</x:v>
      </x:c>
      <x:c r="D24" t="str">
        <x:v>Binding Wire</x:v>
      </x:c>
      <x:c r="E24" t="str">
        <x:v>proxy</x:v>
      </x:c>
      <x:c r="F24" s="42" t="b">
        <x:v>0</x:v>
      </x:c>
      <x:c r="G24" t="n">
        <x:v>0</x:v>
      </x:c>
      <x:c r="H24" t="n">
        <x:v>0</x:v>
      </x:c>
      <x:c r="I24" t="str">
        <x:v>Copper wire</x:v>
      </x:c>
      <x:c r="J24" t="str">
        <x:v>direct</x:v>
      </x:c>
      <x:c r="K24" t="str">
        <x:v>11bceac4-b3d8-4048-8e80-b691ecd2c261</x:v>
      </x:c>
      <x:c r="L24" t="str">
        <x:v>Copper wire, consumption mix, at plant, technology mix, cross section 1 mmy</x:v>
      </x:c>
      <x:c r="M24" s="42" t="b">
        <x:v>1</x:v>
      </x:c>
      <x:c r="N24" s="42" t="b">
        <x:v>1</x:v>
      </x:c>
      <x:c r="O24" t="str">
        <x:v>ok</x:v>
      </x:c>
      <x:c r="P24" t="n">
        <x:v>6.33374551299994</x:v>
      </x:c>
      <x:c r="Q24" t="n">
        <x:v>81</x:v>
      </x:c>
      <x:c r="R24" s="42" t="b">
        <x:v>0</x:v>
      </x:c>
      <x:c r="S24" s="42" t="b">
        <x:v>0</x:v>
      </x:c>
      <x:c r="T24" t="n">
        <x:v>0.4138</x:v>
      </x:c>
      <x:c r="U24" t="n">
        <x:v>0</x:v>
      </x:c>
      <x:c r="V24"/>
      <x:c r="W24" s="42" t="b">
        <x:v>0</x:v>
      </x:c>
      <x:c r="X24" s="42" t="b">
        <x:v>1</x:v>
      </x:c>
      <x:c r="Y24"/>
      <x:c r="Z24" s="42" t="b">
        <x:v>0</x:v>
      </x:c>
      <x:c r="AA24" t="str">
        <x:v>09d61948-238a-40e7-8e1f-afdc0c98f902</x:v>
      </x:c>
      <x:c r="AB24" t="str">
        <x:v>Steel binding wire</x:v>
      </x:c>
    </x:row>
    <x:row r="25">
      <x:c r="A25" t="str">
        <x:v>llama</x:v>
      </x:c>
      <x:c r="B25" t="str">
        <x:v>B12</x:v>
      </x:c>
      <x:c r="C25" t="str">
        <x:v>Bamboo House</x:v>
      </x:c>
      <x:c r="D25" t="str">
        <x:v>24 Gauge CGI Sheets</x:v>
      </x:c>
      <x:c r="E25" t="str">
        <x:v>proxy</x:v>
      </x:c>
      <x:c r="F25" s="42" t="b">
        <x:v>0</x:v>
      </x:c>
      <x:c r="G25" t="n">
        <x:v>0</x:v>
      </x:c>
      <x:c r="H25" t="n">
        <x:v>0</x:v>
      </x:c>
      <x:c r="I25" t="str">
        <x:v>CGI Sheets</x:v>
      </x:c>
      <x:c r="J25" t="str">
        <x:v>proxy</x:v>
      </x:c>
      <x:c r="K25" t="str">
        <x:v>09215eb1-5fc9-11dd-ad8b-0800200c9a66</x:v>
      </x:c>
      <x:c r="L25" t="str">
        <x:v>Aluminium sheet, production mix, at plant, primary production, aluminium semi-finished sheet product, including primary production, transformation and recycling</x:v>
      </x:c>
      <x:c r="M25" s="42" t="b">
        <x:v>1</x:v>
      </x:c>
      <x:c r="N25" s="42" t="b">
        <x:v>1</x:v>
      </x:c>
      <x:c r="O25" t="str">
        <x:v>ok</x:v>
      </x:c>
      <x:c r="P25" t="n">
        <x:v>3.961648904999947</x:v>
      </x:c>
      <x:c r="Q25" t="n">
        <x:v>53</x:v>
      </x:c>
      <x:c r="R25" s="42" t="b">
        <x:v>0</x:v>
      </x:c>
      <x:c r="S25" s="42" t="b">
        <x:v>0</x:v>
      </x:c>
      <x:c r="T25" t="n">
        <x:v>0.4186</x:v>
      </x:c>
      <x:c r="U25" t="n">
        <x:v>0</x:v>
      </x:c>
      <x:c r="V25"/>
      <x:c r="W25" s="42" t="b">
        <x:v>1</x:v>
      </x:c>
      <x:c r="X25" s="42" t="b">
        <x:v>1</x:v>
      </x:c>
      <x:c r="Y25"/>
      <x:c r="Z25" s="42" t="b">
        <x:v>0</x:v>
      </x:c>
      <x:c r="AA25" t="str">
        <x:v>339b2536-c881-409d-ac71-49ab0d228fe3</x:v>
      </x:c>
      <x:c r="AB25" t="str">
        <x:v>Corrugated galvanized steel sheet</x:v>
      </x:c>
    </x:row>
    <x:row r="26">
      <x:c r="A26" t="str">
        <x:v>llama</x:v>
      </x:c>
      <x:c r="B26" t="str">
        <x:v>B13</x:v>
      </x:c>
      <x:c r="C26" t="str">
        <x:v>Bamboo House</x:v>
      </x:c>
      <x:c r="D26" t="str">
        <x:v>3mm Commercial Plywood</x:v>
      </x:c>
      <x:c r="E26" t="str">
        <x:v>proxy</x:v>
      </x:c>
      <x:c r="F26" s="42" t="b">
        <x:v>0</x:v>
      </x:c>
      <x:c r="G26" t="n">
        <x:v>0</x:v>
      </x:c>
      <x:c r="H26" t="n">
        <x:v>0</x:v>
      </x:c>
      <x:c r="I26" t="str">
        <x:v>Commercial Plywood</x:v>
      </x:c>
      <x:c r="J26" t="str">
        <x:v>proxy</x:v>
      </x:c>
      <x:c r="K26" t="str">
        <x:v>621e64d0-f471-4023-9ebc-a52cd8ee573f</x:v>
      </x:c>
      <x:c r="L26" t="str">
        <x:v>Pine wood, production mix, at saw mill, timber, 40% water content</x:v>
      </x:c>
      <x:c r="M26" s="42" t="b">
        <x:v>1</x:v>
      </x:c>
      <x:c r="N26" s="42" t="b">
        <x:v>1</x:v>
      </x:c>
      <x:c r="O26" t="str">
        <x:v>ok</x:v>
      </x:c>
      <x:c r="P26" t="n">
        <x:v>5.668806346999872</x:v>
      </x:c>
      <x:c r="Q26" t="n">
        <x:v>81</x:v>
      </x:c>
      <x:c r="R26" s="42" t="b">
        <x:v>0</x:v>
      </x:c>
      <x:c r="S26" s="42" t="b">
        <x:v>0</x:v>
      </x:c>
      <x:c r="T26" t="n">
        <x:v>0.56</x:v>
      </x:c>
      <x:c r="U26" t="n">
        <x:v>0</x:v>
      </x:c>
      <x:c r="V26"/>
      <x:c r="W26" s="42" t="b">
        <x:v>1</x:v>
      </x:c>
      <x:c r="X26" s="42" t="b">
        <x:v>1</x:v>
      </x:c>
      <x:c r="Y26"/>
      <x:c r="Z26" s="42" t="b">
        <x:v>0</x:v>
      </x:c>
      <x:c r="AA26" t="str">
        <x:v>f7e0f0fd-fb6b-40b5-9300-bddba423e084</x:v>
      </x:c>
      <x:c r="AB26" t="str">
        <x:v>Plywood</x:v>
      </x:c>
    </x:row>
    <x:row r="27">
      <x:c r="A27" t="str">
        <x:v>llama</x:v>
      </x:c>
      <x:c r="B27" t="str">
        <x:v>B14</x:v>
      </x:c>
      <x:c r="C27" t="str">
        <x:v>Bamboo House</x:v>
      </x:c>
      <x:c r="D27" t="str">
        <x:v>Bamboo</x:v>
      </x:c>
      <x:c r="E27" t="str">
        <x:v>review_required</x:v>
      </x:c>
      <x:c r="F27" s="42" t="b">
        <x:v>1</x:v>
      </x:c>
      <x:c r="G27"/>
      <x:c r="H27"/>
      <x:c r="I27" t="str">
        <x:v>Wood</x:v>
      </x:c>
      <x:c r="J27" t="str">
        <x:v>proxy</x:v>
      </x:c>
      <x:c r="K27" t="str">
        <x:v>06b7cba4-aa16-43ab-8031-0719079550be</x:v>
      </x:c>
      <x:c r="L27" t="str">
        <x:v>Compressed air, production mix, 7 bar, high efficiency, low power consumption</x:v>
      </x:c>
      <x:c r="M27" s="42" t="b">
        <x:v>1</x:v>
      </x:c>
      <x:c r="N27" s="42" t="b">
        <x:v>1</x:v>
      </x:c>
      <x:c r="O27" t="str">
        <x:v>ok</x:v>
      </x:c>
      <x:c r="P27" t="n">
        <x:v>5.550595019999946</x:v>
      </x:c>
      <x:c r="Q27" t="n">
        <x:v>76</x:v>
      </x:c>
      <x:c r="R27" s="42" t="b">
        <x:v>0</x:v>
      </x:c>
      <x:c r="S27" s="42" t="b">
        <x:v>0</x:v>
      </x:c>
      <x:c r="T27" t="n">
        <x:v>0.4</x:v>
      </x:c>
      <x:c r="U27"/>
      <x:c r="V27"/>
      <x:c r="W27" s="42" t="b">
        <x:v>0</x:v>
      </x:c>
      <x:c r="X27" s="42" t="b">
        <x:v>0</x:v>
      </x:c>
      <x:c r="Y27" t="n">
        <x:v>0</x:v>
      </x:c>
      <x:c r="Z27" s="42" t="b">
        <x:v>0</x:v>
      </x:c>
      <x:c r="AA27"/>
      <x:c r="AB27" t="str">
        <x:v>Bamboo</x:v>
      </x:c>
    </x:row>
    <x:row r="28">
      <x:c r="A28" t="str">
        <x:v>llama</x:v>
      </x:c>
      <x:c r="B28" t="str">
        <x:v>A01</x:v>
      </x:c>
      <x:c r="C28" t="str">
        <x:v>Bamboo House with Attic</x:v>
      </x:c>
      <x:c r="D28" t="str">
        <x:v>Cement</x:v>
      </x:c>
      <x:c r="E28" t="str">
        <x:v>direct</x:v>
      </x:c>
      <x:c r="F28" s="42" t="b">
        <x:v>0</x:v>
      </x:c>
      <x:c r="G28" t="n">
        <x:v>1</x:v>
      </x:c>
      <x:c r="H28" t="n">
        <x:v>1</x:v>
      </x:c>
      <x:c r="I28" t="str">
        <x:v>Portland cement</x:v>
      </x:c>
      <x:c r="J28" t="str">
        <x:v>direct</x:v>
      </x:c>
      <x:c r="K28" t="str">
        <x:v>600573dd-dfa5-44e5-b458-8727e793ffd7</x:v>
      </x:c>
      <x:c r="L28" t="str">
        <x:v>Portland cement (CEM I), CEMBUREAU production mix, at plant, CEMBUREAU technology mix, EN 197-1</x:v>
      </x:c>
      <x:c r="M28" s="42" t="b">
        <x:v>1</x:v>
      </x:c>
      <x:c r="N28" s="42" t="b">
        <x:v>1</x:v>
      </x:c>
      <x:c r="O28" t="str">
        <x:v>ok</x:v>
      </x:c>
      <x:c r="P28" t="n">
        <x:v>3.778814584999964</x:v>
      </x:c>
      <x:c r="Q28" t="n">
        <x:v>49</x:v>
      </x:c>
      <x:c r="R28" s="42" t="b">
        <x:v>0</x:v>
      </x:c>
      <x:c r="S28" s="42" t="b">
        <x:v>0</x:v>
      </x:c>
      <x:c r="T28" t="n">
        <x:v>0.5714</x:v>
      </x:c>
      <x:c r="U28" t="n">
        <x:v>1</x:v>
      </x:c>
      <x:c r="V28" t="n">
        <x:v>1</x:v>
      </x:c>
      <x:c r="W28" s="42" t="b">
        <x:v>1</x:v>
      </x:c>
      <x:c r="X28" s="42" t="b">
        <x:v>1</x:v>
      </x:c>
      <x:c r="Y28"/>
      <x:c r="Z28" s="42" t="b">
        <x:v>0</x:v>
      </x:c>
      <x:c r="AA28" t="str">
        <x:v>600573dd-dfa5-44e5-b458-8727e793ffd7</x:v>
      </x:c>
      <x:c r="AB28" t="str">
        <x:v>Cement</x:v>
      </x:c>
    </x:row>
    <x:row r="29">
      <x:c r="A29" t="str">
        <x:v>llama</x:v>
      </x:c>
      <x:c r="B29" t="str">
        <x:v>A02</x:v>
      </x:c>
      <x:c r="C29" t="str">
        <x:v>Bamboo House with Attic</x:v>
      </x:c>
      <x:c r="D29" t="str">
        <x:v>Sand</x:v>
      </x:c>
      <x:c r="E29" t="str">
        <x:v>direct</x:v>
      </x:c>
      <x:c r="F29" s="42" t="b">
        <x:v>0</x:v>
      </x:c>
      <x:c r="G29" t="n">
        <x:v>1</x:v>
      </x:c>
      <x:c r="H29" t="n">
        <x:v>1</x:v>
      </x:c>
      <x:c r="I29" t="str">
        <x:v>silica sand</x:v>
      </x:c>
      <x:c r="J29" t="str">
        <x:v>direct</x:v>
      </x:c>
      <x:c r="K29" t="str">
        <x:v>b81d1e8f-5a19-483a-8077-4799839ecf26</x:v>
      </x:c>
      <x:c r="L29" t="str">
        <x:v>Very fine milled silica sand d50 = 20 micrometer, at plant, Production, median diameter of silica sand grains is 20 micrometers</x:v>
      </x:c>
      <x:c r="M29" s="42" t="b">
        <x:v>1</x:v>
      </x:c>
      <x:c r="N29" s="42" t="b">
        <x:v>1</x:v>
      </x:c>
      <x:c r="O29" t="str">
        <x:v>ok</x:v>
      </x:c>
      <x:c r="P29" t="n">
        <x:v>4.79199294</x:v>
      </x:c>
      <x:c r="Q29" t="n">
        <x:v>55</x:v>
      </x:c>
      <x:c r="R29" s="42" t="b">
        <x:v>0</x:v>
      </x:c>
      <x:c r="S29" s="42" t="b">
        <x:v>0</x:v>
      </x:c>
      <x:c r="T29" t="n">
        <x:v>0.5333</x:v>
      </x:c>
      <x:c r="U29" t="n">
        <x:v>0</x:v>
      </x:c>
      <x:c r="V29" t="n">
        <x:v>0</x:v>
      </x:c>
      <x:c r="W29" s="42" t="b">
        <x:v>1</x:v>
      </x:c>
      <x:c r="X29" s="42" t="b">
        <x:v>1</x:v>
      </x:c>
      <x:c r="Y29"/>
      <x:c r="Z29" s="42" t="b">
        <x:v>0</x:v>
      </x:c>
      <x:c r="AA29" t="str">
        <x:v>898618b1-3306-11dd-bd11-0800200c9a66</x:v>
      </x:c>
      <x:c r="AB29" t="str">
        <x:v>Sand</x:v>
      </x:c>
    </x:row>
    <x:row r="30">
      <x:c r="A30" t="str">
        <x:v>llama</x:v>
      </x:c>
      <x:c r="B30" t="str">
        <x:v>A03</x:v>
      </x:c>
      <x:c r="C30" t="str">
        <x:v>Bamboo House with Attic</x:v>
      </x:c>
      <x:c r="D30" t="str">
        <x:v>Natural Gravel</x:v>
      </x:c>
      <x:c r="E30" t="str">
        <x:v>direct</x:v>
      </x:c>
      <x:c r="F30" s="42" t="b">
        <x:v>0</x:v>
      </x:c>
      <x:c r="G30" t="n">
        <x:v>1</x:v>
      </x:c>
      <x:c r="H30" t="n">
        <x:v>0</x:v>
      </x:c>
      <x:c r="I30" t="str">
        <x:v>Gravel</x:v>
      </x:c>
      <x:c r="J30" t="str">
        <x:v>direct</x:v>
      </x:c>
      <x:c r="K30" t="str">
        <x:v>898618b2-3306-11dd-bd11-0800200c9a66</x:v>
      </x:c>
      <x:c r="L30" t="str">
        <x:v>Gravel 2/32, production mix, at plant, wet and dry quarry, undried</x:v>
      </x:c>
      <x:c r="M30" s="42" t="b">
        <x:v>1</x:v>
      </x:c>
      <x:c r="N30" s="42" t="b">
        <x:v>1</x:v>
      </x:c>
      <x:c r="O30" t="str">
        <x:v>ok</x:v>
      </x:c>
      <x:c r="P30" t="n">
        <x:v>3.77674832699995</x:v>
      </x:c>
      <x:c r="Q30" t="n">
        <x:v>51</x:v>
      </x:c>
      <x:c r="R30" s="42" t="b">
        <x:v>0</x:v>
      </x:c>
      <x:c r="S30" s="42" t="b">
        <x:v>1</x:v>
      </x:c>
      <x:c r="T30" t="n">
        <x:v>1</x:v>
      </x:c>
      <x:c r="U30" t="n">
        <x:v>1</x:v>
      </x:c>
      <x:c r="V30" t="n">
        <x:v>1</x:v>
      </x:c>
      <x:c r="W30" s="42" t="b">
        <x:v>1</x:v>
      </x:c>
      <x:c r="X30" s="42" t="b">
        <x:v>1</x:v>
      </x:c>
      <x:c r="Y30"/>
      <x:c r="Z30" s="42" t="b">
        <x:v>1</x:v>
      </x:c>
      <x:c r="AA30" t="str">
        <x:v>898618b2-3306-11dd-bd11-0800200c9a66</x:v>
      </x:c>
      <x:c r="AB30" t="str">
        <x:v>Gravel</x:v>
      </x:c>
    </x:row>
    <x:row r="31">
      <x:c r="A31" t="str">
        <x:v>llama</x:v>
      </x:c>
      <x:c r="B31" t="str">
        <x:v>A04</x:v>
      </x:c>
      <x:c r="C31" t="str">
        <x:v>Bamboo House with Attic</x:v>
      </x:c>
      <x:c r="D31" t="str">
        <x:v>Soil Blocks</x:v>
      </x:c>
      <x:c r="E31" t="str">
        <x:v>review_required</x:v>
      </x:c>
      <x:c r="F31" s="42" t="b">
        <x:v>1</x:v>
      </x:c>
      <x:c r="G31"/>
      <x:c r="H31"/>
      <x:c r="I31" t="str">
        <x:v>soil</x:v>
      </x:c>
      <x:c r="J31" t="str">
        <x:v>direct</x:v>
      </x:c>
      <x:c r="K31" t="str">
        <x:v>898618b7-3306-11dd-bd11-0800200c9a66</x:v>
      </x:c>
      <x:c r="L31" t="str">
        <x:v>Calcium silicate, production mix, at plant, blocks and elements, density 1400 to 2000 kg/m3</x:v>
      </x:c>
      <x:c r="M31" s="42" t="b">
        <x:v>1</x:v>
      </x:c>
      <x:c r="N31" s="42" t="b">
        <x:v>1</x:v>
      </x:c>
      <x:c r="O31" t="str">
        <x:v>ok</x:v>
      </x:c>
      <x:c r="P31" t="n">
        <x:v>3.880130460999908</x:v>
      </x:c>
      <x:c r="Q31" t="n">
        <x:v>51</x:v>
      </x:c>
      <x:c r="R31" s="42" t="b">
        <x:v>0</x:v>
      </x:c>
      <x:c r="S31" s="42" t="b">
        <x:v>0</x:v>
      </x:c>
      <x:c r="T31" t="n">
        <x:v>0.5714</x:v>
      </x:c>
      <x:c r="U31"/>
      <x:c r="V31"/>
      <x:c r="W31" s="42" t="b">
        <x:v>0</x:v>
      </x:c>
      <x:c r="X31" s="42" t="b">
        <x:v>0</x:v>
      </x:c>
      <x:c r="Y31" t="n">
        <x:v>0</x:v>
      </x:c>
      <x:c r="Z31" s="42" t="b">
        <x:v>0</x:v>
      </x:c>
      <x:c r="AA31"/>
      <x:c r="AB31" t="str">
        <x:v>Soil block</x:v>
      </x:c>
    </x:row>
    <x:row r="32">
      <x:c r="A32" t="str">
        <x:v>llama</x:v>
      </x:c>
      <x:c r="B32" t="str">
        <x:v>A05</x:v>
      </x:c>
      <x:c r="C32" t="str">
        <x:v>Bamboo House with Attic</x:v>
      </x:c>
      <x:c r="D32" t="str">
        <x:v>Wood</x:v>
      </x:c>
      <x:c r="E32" t="str">
        <x:v>proxy</x:v>
      </x:c>
      <x:c r="F32" s="42" t="b">
        <x:v>0</x:v>
      </x:c>
      <x:c r="G32" t="n">
        <x:v>1</x:v>
      </x:c>
      <x:c r="H32" t="n">
        <x:v>0</x:v>
      </x:c>
      <x:c r="I32" t="str">
        <x:v>wood</x:v>
      </x:c>
      <x:c r="J32" t="str">
        <x:v>direct</x:v>
      </x:c>
      <x:c r="K32" t="str">
        <x:v>39f61d7a-9cea-4e61-b292-50ad6ee05ccc</x:v>
      </x:c>
      <x:c r="L32" t="str">
        <x:v>Waste incineration of wood products (OSB, particle board), at plant, average European waste-to-energy plant, without collection, transport and pre-treatment</x:v>
      </x:c>
      <x:c r="M32" s="42" t="b">
        <x:v>1</x:v>
      </x:c>
      <x:c r="N32" s="42" t="b">
        <x:v>1</x:v>
      </x:c>
      <x:c r="O32" t="str">
        <x:v>ok</x:v>
      </x:c>
      <x:c r="P32" t="n">
        <x:v>5.803145184999948</x:v>
      </x:c>
      <x:c r="Q32" t="n">
        <x:v>74</x:v>
      </x:c>
      <x:c r="R32" s="42" t="b">
        <x:v>0</x:v>
      </x:c>
      <x:c r="S32" s="42" t="b">
        <x:v>1</x:v>
      </x:c>
      <x:c r="T32" t="n">
        <x:v>1</x:v>
      </x:c>
      <x:c r="U32" t="n">
        <x:v>0</x:v>
      </x:c>
      <x:c r="V32" t="n">
        <x:v>0</x:v>
      </x:c>
      <x:c r="W32" s="42" t="b">
        <x:v>0</x:v>
      </x:c>
      <x:c r="X32" s="42" t="b">
        <x:v>1</x:v>
      </x:c>
      <x:c r="Y32"/>
      <x:c r="Z32" s="42" t="b">
        <x:v>0</x:v>
      </x:c>
      <x:c r="AA32" t="str">
        <x:v>2b61a4d6-bd1d-4ea3-828c-fdbdf5fca1f9</x:v>
      </x:c>
      <x:c r="AB32" t="str">
        <x:v>Wood</x:v>
      </x:c>
    </x:row>
    <x:row r="33">
      <x:c r="A33" t="str">
        <x:v>llama</x:v>
      </x:c>
      <x:c r="B33" t="str">
        <x:v>A06</x:v>
      </x:c>
      <x:c r="C33" t="str">
        <x:v>Bamboo House with Attic</x:v>
      </x:c>
      <x:c r="D33" t="str">
        <x:v>Bamboo</x:v>
      </x:c>
      <x:c r="E33" t="str">
        <x:v>review_required</x:v>
      </x:c>
      <x:c r="F33" s="42" t="b">
        <x:v>1</x:v>
      </x:c>
      <x:c r="G33"/>
      <x:c r="H33"/>
      <x:c r="I33" t="str">
        <x:v>bamboo</x:v>
      </x:c>
      <x:c r="J33" t="str">
        <x:v>proxy</x:v>
      </x:c>
      <x:c r="K33" t="str">
        <x:v>06b7cba4-aa16-43ab-8031-0719079550be</x:v>
      </x:c>
      <x:c r="L33" t="str">
        <x:v>Compressed air, production mix, 7 bar, high efficiency, low power consumption</x:v>
      </x:c>
      <x:c r="M33" s="42" t="b">
        <x:v>1</x:v>
      </x:c>
      <x:c r="N33" s="42" t="b">
        <x:v>1</x:v>
      </x:c>
      <x:c r="O33" t="str">
        <x:v>ok</x:v>
      </x:c>
      <x:c r="P33" t="n">
        <x:v>5.415119573999846</x:v>
      </x:c>
      <x:c r="Q33" t="n">
        <x:v>77</x:v>
      </x:c>
      <x:c r="R33" s="42" t="b">
        <x:v>0</x:v>
      </x:c>
      <x:c r="S33" s="42" t="b">
        <x:v>1</x:v>
      </x:c>
      <x:c r="T33" t="n">
        <x:v>1</x:v>
      </x:c>
      <x:c r="U33"/>
      <x:c r="V33"/>
      <x:c r="W33" s="42" t="b">
        <x:v>0</x:v>
      </x:c>
      <x:c r="X33" s="42" t="b">
        <x:v>0</x:v>
      </x:c>
      <x:c r="Y33" t="n">
        <x:v>0</x:v>
      </x:c>
      <x:c r="Z33" s="42" t="b">
        <x:v>0</x:v>
      </x:c>
      <x:c r="AA33"/>
      <x:c r="AB33" t="str">
        <x:v>Bamboo</x:v>
      </x:c>
    </x:row>
    <x:row r="34">
      <x:c r="A34" t="str">
        <x:v>llama</x:v>
      </x:c>
      <x:c r="B34" t="str">
        <x:v>A07</x:v>
      </x:c>
      <x:c r="C34" t="str">
        <x:v>Bamboo House with Attic</x:v>
      </x:c>
      <x:c r="D34" t="str">
        <x:v>Rebar</x:v>
      </x:c>
      <x:c r="E34" t="str">
        <x:v>direct</x:v>
      </x:c>
      <x:c r="F34" s="42" t="b">
        <x:v>0</x:v>
      </x:c>
      <x:c r="G34" t="n">
        <x:v>1</x:v>
      </x:c>
      <x:c r="H34" t="n">
        <x:v>1</x:v>
      </x:c>
      <x:c r="I34" t="str">
        <x:v>Steel rebar</x:v>
      </x:c>
      <x:c r="J34" t="str">
        <x:v>direct</x:v>
      </x:c>
      <x:c r="K34" t="str">
        <x:v>268a11fb-baf2-4b9e-8867-38bea0e76ef6</x:v>
      </x:c>
      <x:c r="L34" t="str">
        <x:v>Steel rebar, production mix, at plant, blast furnace and electric arc furnace route,</x:v>
      </x:c>
      <x:c r="M34" s="42" t="b">
        <x:v>1</x:v>
      </x:c>
      <x:c r="N34" s="42" t="b">
        <x:v>1</x:v>
      </x:c>
      <x:c r="O34" t="str">
        <x:v>ok</x:v>
      </x:c>
      <x:c r="P34" t="n">
        <x:v>4.205405065999912</x:v>
      </x:c>
      <x:c r="Q34" t="n">
        <x:v>55</x:v>
      </x:c>
      <x:c r="R34" s="42" t="b">
        <x:v>0</x:v>
      </x:c>
      <x:c r="S34" s="42" t="b">
        <x:v>0</x:v>
      </x:c>
      <x:c r="T34" t="n">
        <x:v>0.625</x:v>
      </x:c>
      <x:c r="U34" t="n">
        <x:v>1</x:v>
      </x:c>
      <x:c r="V34" t="n">
        <x:v>1</x:v>
      </x:c>
      <x:c r="W34" s="42" t="b">
        <x:v>1</x:v>
      </x:c>
      <x:c r="X34" s="42" t="b">
        <x:v>1</x:v>
      </x:c>
      <x:c r="Y34"/>
      <x:c r="Z34" s="42" t="b">
        <x:v>0</x:v>
      </x:c>
      <x:c r="AA34" t="str">
        <x:v>268a11fb-baf2-4b9e-8867-38bea0e76ef6</x:v>
      </x:c>
      <x:c r="AB34" t="str">
        <x:v>Rebar</x:v>
      </x:c>
    </x:row>
    <x:row r="35">
      <x:c r="A35" t="str">
        <x:v>llama</x:v>
      </x:c>
      <x:c r="B35" t="str">
        <x:v>A08</x:v>
      </x:c>
      <x:c r="C35" t="str">
        <x:v>Bamboo House with Attic</x:v>
      </x:c>
      <x:c r="D35" t="str">
        <x:v>Soil</x:v>
      </x:c>
      <x:c r="E35" t="str">
        <x:v>review_required</x:v>
      </x:c>
      <x:c r="F35" s="42" t="b">
        <x:v>1</x:v>
      </x:c>
      <x:c r="G35"/>
      <x:c r="H35"/>
      <x:c r="I35" t="str">
        <x:v>soil</x:v>
      </x:c>
      <x:c r="J35" t="str">
        <x:v>proxy</x:v>
      </x:c>
      <x:c r="K35" t="str">
        <x:v>1709667f-24d8-4eb9-a361-a0c85ac65d85</x:v>
      </x:c>
      <x:c r="L35" t="str">
        <x:v>Process steam from light fuel oil, consumption mix, at plant, heat plant, MJ</x:v>
      </x:c>
      <x:c r="M35" s="42" t="b">
        <x:v>1</x:v>
      </x:c>
      <x:c r="N35" s="42" t="b">
        <x:v>1</x:v>
      </x:c>
      <x:c r="O35" t="str">
        <x:v>ok</x:v>
      </x:c>
      <x:c r="P35" t="n">
        <x:v>4.237030689999983</x:v>
      </x:c>
      <x:c r="Q35" t="n">
        <x:v>52</x:v>
      </x:c>
      <x:c r="R35" s="42" t="b">
        <x:v>0</x:v>
      </x:c>
      <x:c r="S35" s="42" t="b">
        <x:v>1</x:v>
      </x:c>
      <x:c r="T35" t="n">
        <x:v>1</x:v>
      </x:c>
      <x:c r="U35"/>
      <x:c r="V35"/>
      <x:c r="W35" s="42" t="b">
        <x:v>0</x:v>
      </x:c>
      <x:c r="X35" s="42" t="b">
        <x:v>0</x:v>
      </x:c>
      <x:c r="Y35" t="n">
        <x:v>0</x:v>
      </x:c>
      <x:c r="Z35" s="42" t="b">
        <x:v>0</x:v>
      </x:c>
      <x:c r="AA35"/>
      <x:c r="AB35" t="str">
        <x:v>Soil</x:v>
      </x:c>
    </x:row>
    <x:row r="36">
      <x:c r="A36" t="str">
        <x:v>llama</x:v>
      </x:c>
      <x:c r="B36" t="str">
        <x:v>A09</x:v>
      </x:c>
      <x:c r="C36" t="str">
        <x:v>Bamboo House with Attic</x:v>
      </x:c>
      <x:c r="D36" t="str">
        <x:v>CGI Sheets</x:v>
      </x:c>
      <x:c r="E36" t="str">
        <x:v>proxy</x:v>
      </x:c>
      <x:c r="F36" s="42" t="b">
        <x:v>0</x:v>
      </x:c>
      <x:c r="G36" t="n">
        <x:v>0</x:v>
      </x:c>
      <x:c r="H36" t="n">
        <x:v>0</x:v>
      </x:c>
      <x:c r="I36" t="str">
        <x:v>cartonboard</x:v>
      </x:c>
      <x:c r="J36" t="str">
        <x:v>direct</x:v>
      </x:c>
      <x:c r="K36" t="str">
        <x:v>54025657-ca8e-1cd4-3330-0000339bcc6d</x:v>
      </x:c>
      <x:c r="L36" t="str">
        <x:v>cartonboard sheets; mixed technology; production mix, at plant; 46% primary fibre, 54% recovered fibre (en)</x:v>
      </x:c>
      <x:c r="M36" s="42" t="b">
        <x:v>1</x:v>
      </x:c>
      <x:c r="N36" s="42" t="b">
        <x:v>1</x:v>
      </x:c>
      <x:c r="O36" t="str">
        <x:v>ok</x:v>
      </x:c>
      <x:c r="P36" t="n">
        <x:v>3.890574610000158</x:v>
      </x:c>
      <x:c r="Q36" t="n">
        <x:v>51</x:v>
      </x:c>
      <x:c r="R36" s="42" t="b">
        <x:v>0</x:v>
      </x:c>
      <x:c r="S36" s="42" t="b">
        <x:v>0</x:v>
      </x:c>
      <x:c r="T36" t="n">
        <x:v>0.2273</x:v>
      </x:c>
      <x:c r="U36" t="n">
        <x:v>0</x:v>
      </x:c>
      <x:c r="V36"/>
      <x:c r="W36" s="42" t="b">
        <x:v>0</x:v>
      </x:c>
      <x:c r="X36" s="42" t="b">
        <x:v>1</x:v>
      </x:c>
      <x:c r="Y36"/>
      <x:c r="Z36" s="42" t="b">
        <x:v>0</x:v>
      </x:c>
      <x:c r="AA36" t="str">
        <x:v>339b2536-c881-409d-ac71-49ab0d228fe3</x:v>
      </x:c>
      <x:c r="AB36" t="str">
        <x:v>Corrugated galvanized steel sheet</x:v>
      </x:c>
    </x:row>
    <x:row r="37">
      <x:c r="A37" t="str">
        <x:v>qwen</x:v>
      </x:c>
      <x:c r="B37" t="str">
        <x:v>S01</x:v>
      </x:c>
      <x:c r="C37" t="str">
        <x:v>Stonecrete House</x:v>
      </x:c>
      <x:c r="D37" t="str">
        <x:v>Ordinary Portland Cement (OPC 43-grade)</x:v>
      </x:c>
      <x:c r="E37" t="str">
        <x:v>direct</x:v>
      </x:c>
      <x:c r="F37" s="42" t="b">
        <x:v>0</x:v>
      </x:c>
      <x:c r="G37" t="n">
        <x:v>1</x:v>
      </x:c>
      <x:c r="H37" t="n">
        <x:v>1</x:v>
      </x:c>
      <x:c r="I37" t="str">
        <x:v>Ordinary Portland Cement (OPC 43-grade)</x:v>
      </x:c>
      <x:c r="J37" t="str">
        <x:v>direct</x:v>
      </x:c>
      <x:c r="K37" t="str">
        <x:v>600573dd-dfa5-44e5-b458-8727e793ffd7</x:v>
      </x:c>
      <x:c r="L37" t="str">
        <x:v>Portland cement (CEM I), CEMBUREAU production mix, at plant, CEMBUREAU technology mix, EN 197-1</x:v>
      </x:c>
      <x:c r="M37" s="42" t="b">
        <x:v>1</x:v>
      </x:c>
      <x:c r="N37" s="42" t="b">
        <x:v>1</x:v>
      </x:c>
      <x:c r="O37" t="str">
        <x:v>ok</x:v>
      </x:c>
      <x:c r="P37" t="n">
        <x:v>5.916853326000137</x:v>
      </x:c>
      <x:c r="Q37" t="n">
        <x:v>69</x:v>
      </x:c>
      <x:c r="R37" s="42" t="b">
        <x:v>0</x:v>
      </x:c>
      <x:c r="S37" s="42" t="b">
        <x:v>0</x:v>
      </x:c>
      <x:c r="T37" t="n">
        <x:v>0.2791</x:v>
      </x:c>
      <x:c r="U37" t="n">
        <x:v>1</x:v>
      </x:c>
      <x:c r="V37" t="n">
        <x:v>1</x:v>
      </x:c>
      <x:c r="W37" s="42" t="b">
        <x:v>1</x:v>
      </x:c>
      <x:c r="X37" s="42" t="b">
        <x:v>1</x:v>
      </x:c>
      <x:c r="Y37"/>
      <x:c r="Z37" s="42" t="b">
        <x:v>0</x:v>
      </x:c>
      <x:c r="AA37" t="str">
        <x:v>600573dd-dfa5-44e5-b458-8727e793ffd7</x:v>
      </x:c>
      <x:c r="AB37" t="str">
        <x:v>Cement</x:v>
      </x:c>
    </x:row>
    <x:row r="38">
      <x:c r="A38" t="str">
        <x:v>qwen</x:v>
      </x:c>
      <x:c r="B38" t="str">
        <x:v>S02</x:v>
      </x:c>
      <x:c r="C38" t="str">
        <x:v>Stonecrete House</x:v>
      </x:c>
      <x:c r="D38" t="str">
        <x:v>River Sand (clean, well-graded)</x:v>
      </x:c>
      <x:c r="E38" t="str">
        <x:v>direct</x:v>
      </x:c>
      <x:c r="F38" s="42" t="b">
        <x:v>0</x:v>
      </x:c>
      <x:c r="G38" t="n">
        <x:v>1</x:v>
      </x:c>
      <x:c r="H38" t="n">
        <x:v>1</x:v>
      </x:c>
      <x:c r="I38" t="str">
        <x:v>River Sand</x:v>
      </x:c>
      <x:c r="J38" t="str">
        <x:v>proxy</x:v>
      </x:c>
      <x:c r="K38" t="str">
        <x:v>898618b1-3306-11dd-bd11-0800200c9a66</x:v>
      </x:c>
      <x:c r="L38" t="str">
        <x:v>Sand 0/2, production mix, at plant, wet and dry quarry, undried</x:v>
      </x:c>
      <x:c r="M38" s="42" t="b">
        <x:v>1</x:v>
      </x:c>
      <x:c r="N38" s="42" t="b">
        <x:v>1</x:v>
      </x:c>
      <x:c r="O38" t="str">
        <x:v>ok</x:v>
      </x:c>
      <x:c r="P38" t="n">
        <x:v>5.959083763999843</x:v>
      </x:c>
      <x:c r="Q38" t="n">
        <x:v>96</x:v>
      </x:c>
      <x:c r="R38" s="42" t="b">
        <x:v>0</x:v>
      </x:c>
      <x:c r="S38" s="42" t="b">
        <x:v>0</x:v>
      </x:c>
      <x:c r="T38" t="n">
        <x:v>0.5714</x:v>
      </x:c>
      <x:c r="U38" t="n">
        <x:v>1</x:v>
      </x:c>
      <x:c r="V38" t="n">
        <x:v>1</x:v>
      </x:c>
      <x:c r="W38" s="42" t="b">
        <x:v>0</x:v>
      </x:c>
      <x:c r="X38" s="42" t="b">
        <x:v>1</x:v>
      </x:c>
      <x:c r="Y38"/>
      <x:c r="Z38" s="42" t="b">
        <x:v>0</x:v>
      </x:c>
      <x:c r="AA38" t="str">
        <x:v>898618b1-3306-11dd-bd11-0800200c9a66</x:v>
      </x:c>
      <x:c r="AB38" t="str">
        <x:v>Sand</x:v>
      </x:c>
    </x:row>
    <x:row r="39">
      <x:c r="A39" t="str">
        <x:v>qwen</x:v>
      </x:c>
      <x:c r="B39" t="str">
        <x:v>S03</x:v>
      </x:c>
      <x:c r="C39" t="str">
        <x:v>Stonecrete House</x:v>
      </x:c>
      <x:c r="D39" t="str">
        <x:v>Natural Gravel</x:v>
      </x:c>
      <x:c r="E39" t="str">
        <x:v>direct</x:v>
      </x:c>
      <x:c r="F39" s="42" t="b">
        <x:v>0</x:v>
      </x:c>
      <x:c r="G39" t="n">
        <x:v>1</x:v>
      </x:c>
      <x:c r="H39" t="n">
        <x:v>0</x:v>
      </x:c>
      <x:c r="I39" t="str">
        <x:v>Natural Gravel</x:v>
      </x:c>
      <x:c r="J39" t="str">
        <x:v>direct</x:v>
      </x:c>
      <x:c r="K39" t="str">
        <x:v>898618b2-3306-11dd-bd11-0800200c9a66</x:v>
      </x:c>
      <x:c r="L39" t="str">
        <x:v>Gravel 2/32, production mix, at plant, wet and dry quarry, undried</x:v>
      </x:c>
      <x:c r="M39" s="42" t="b">
        <x:v>1</x:v>
      </x:c>
      <x:c r="N39" s="42" t="b">
        <x:v>1</x:v>
      </x:c>
      <x:c r="O39" t="str">
        <x:v>ok</x:v>
      </x:c>
      <x:c r="P39" t="n">
        <x:v>4.817332412000042</x:v>
      </x:c>
      <x:c r="Q39" t="n">
        <x:v>65</x:v>
      </x:c>
      <x:c r="R39" s="42" t="b">
        <x:v>0</x:v>
      </x:c>
      <x:c r="S39" s="42" t="b">
        <x:v>0</x:v>
      </x:c>
      <x:c r="T39" t="n">
        <x:v>0.6</x:v>
      </x:c>
      <x:c r="U39" t="n">
        <x:v>1</x:v>
      </x:c>
      <x:c r="V39" t="n">
        <x:v>1</x:v>
      </x:c>
      <x:c r="W39" s="42" t="b">
        <x:v>1</x:v>
      </x:c>
      <x:c r="X39" s="42" t="b">
        <x:v>1</x:v>
      </x:c>
      <x:c r="Y39"/>
      <x:c r="Z39" s="42" t="b">
        <x:v>0</x:v>
      </x:c>
      <x:c r="AA39" t="str">
        <x:v>898618b2-3306-11dd-bd11-0800200c9a66</x:v>
      </x:c>
      <x:c r="AB39" t="str">
        <x:v>Gravel</x:v>
      </x:c>
    </x:row>
    <x:row r="40">
      <x:c r="A40" t="str">
        <x:v>qwen</x:v>
      </x:c>
      <x:c r="B40" t="str">
        <x:v>S04</x:v>
      </x:c>
      <x:c r="C40" t="str">
        <x:v>Stonecrete House</x:v>
      </x:c>
      <x:c r="D40" t="str">
        <x:v>Stone</x:v>
      </x:c>
      <x:c r="E40" t="str">
        <x:v>proxy</x:v>
      </x:c>
      <x:c r="F40" s="42" t="b">
        <x:v>0</x:v>
      </x:c>
      <x:c r="G40" t="n">
        <x:v>1</x:v>
      </x:c>
      <x:c r="H40" t="n">
        <x:v>0</x:v>
      </x:c>
      <x:c r="I40" t="str">
        <x:v>Stone</x:v>
      </x:c>
      <x:c r="J40" t="str">
        <x:v>direct</x:v>
      </x:c>
      <x:c r="K40" t="str">
        <x:v>898618b3-3306-11dd-bd11-0800200c9a66</x:v>
      </x:c>
      <x:c r="L40" t="str">
        <x:v>Crushed stone 16/32, production mix, at plant, open pit mining, undried</x:v>
      </x:c>
      <x:c r="M40" s="42" t="b">
        <x:v>1</x:v>
      </x:c>
      <x:c r="N40" s="42" t="b">
        <x:v>1</x:v>
      </x:c>
      <x:c r="O40" t="str">
        <x:v>ok</x:v>
      </x:c>
      <x:c r="P40" t="n">
        <x:v>4.286239053000145</x:v>
      </x:c>
      <x:c r="Q40" t="n">
        <x:v>63</x:v>
      </x:c>
      <x:c r="R40" s="42" t="b">
        <x:v>0</x:v>
      </x:c>
      <x:c r="S40" s="42" t="b">
        <x:v>1</x:v>
      </x:c>
      <x:c r="T40" t="n">
        <x:v>1</x:v>
      </x:c>
      <x:c r="U40" t="n">
        <x:v>1</x:v>
      </x:c>
      <x:c r="V40" t="n">
        <x:v>1</x:v>
      </x:c>
      <x:c r="W40" s="42" t="b">
        <x:v>0</x:v>
      </x:c>
      <x:c r="X40" s="42" t="b">
        <x:v>1</x:v>
      </x:c>
      <x:c r="Y40"/>
      <x:c r="Z40" s="42" t="b">
        <x:v>0</x:v>
      </x:c>
      <x:c r="AA40" t="str">
        <x:v>898618b3-3306-11dd-bd11-0800200c9a66</x:v>
      </x:c>
      <x:c r="AB40" t="str">
        <x:v>Stone</x:v>
      </x:c>
    </x:row>
    <x:row r="41">
      <x:c r="A41" t="str">
        <x:v>qwen</x:v>
      </x:c>
      <x:c r="B41" t="str">
        <x:v>S05</x:v>
      </x:c>
      <x:c r="C41" t="str">
        <x:v>Stonecrete House</x:v>
      </x:c>
      <x:c r="D41" t="str">
        <x:v>Plain Cement Concrete (PCC M10 — 1:3:6) - Binding Layer</x:v>
      </x:c>
      <x:c r="E41" t="str">
        <x:v>proxy</x:v>
      </x:c>
      <x:c r="F41" s="42" t="b">
        <x:v>0</x:v>
      </x:c>
      <x:c r="G41" t="n">
        <x:v>1</x:v>
      </x:c>
      <x:c r="H41" t="n">
        <x:v>1</x:v>
      </x:c>
      <x:c r="I41" t="str">
        <x:v>Plain Cement Concrete</x:v>
      </x:c>
      <x:c r="J41" t="str">
        <x:v>proxy</x:v>
      </x:c>
      <x:c r="K41" t="str">
        <x:v>600573dd-dfa5-44e5-b458-8727e793ffd7</x:v>
      </x:c>
      <x:c r="L41" t="str">
        <x:v>Portland cement (CEM I), CEMBUREAU production mix, at plant, CEMBUREAU technology mix, EN 197-1</x:v>
      </x:c>
      <x:c r="M41" s="42" t="b">
        <x:v>1</x:v>
      </x:c>
      <x:c r="N41" s="42" t="b">
        <x:v>1</x:v>
      </x:c>
      <x:c r="O41" t="str">
        <x:v>ok</x:v>
      </x:c>
      <x:c r="P41" t="n">
        <x:v>4.183377132000032</x:v>
      </x:c>
      <x:c r="Q41" t="n">
        <x:v>61</x:v>
      </x:c>
      <x:c r="R41" s="42" t="b">
        <x:v>0</x:v>
      </x:c>
      <x:c r="S41" s="42" t="b">
        <x:v>0</x:v>
      </x:c>
      <x:c r="T41" t="n">
        <x:v>0.5517</x:v>
      </x:c>
      <x:c r="U41" t="n">
        <x:v>0</x:v>
      </x:c>
      <x:c r="V41" t="n">
        <x:v>0</x:v>
      </x:c>
      <x:c r="W41" s="42" t="b">
        <x:v>1</x:v>
      </x:c>
      <x:c r="X41" s="42" t="b">
        <x:v>1</x:v>
      </x:c>
      <x:c r="Y41"/>
      <x:c r="Z41" s="42" t="b">
        <x:v>0</x:v>
      </x:c>
      <x:c r="AA41" t="str">
        <x:v>898618b0-3306-11dd-bd11-0800200c9a66</x:v>
      </x:c>
      <x:c r="AB41" t="str">
        <x:v>Concrete</x:v>
      </x:c>
    </x:row>
    <x:row r="42">
      <x:c r="A42" t="str">
        <x:v>qwen</x:v>
      </x:c>
      <x:c r="B42" t="str">
        <x:v>S06</x:v>
      </x:c>
      <x:c r="C42" t="str">
        <x:v>Stonecrete House</x:v>
      </x:c>
      <x:c r="D42" t="str">
        <x:v>Stonecrete block</x:v>
      </x:c>
      <x:c r="E42" t="str">
        <x:v>proxy</x:v>
      </x:c>
      <x:c r="F42" s="42" t="b">
        <x:v>0</x:v>
      </x:c>
      <x:c r="G42" t="n">
        <x:v>1</x:v>
      </x:c>
      <x:c r="H42" t="n">
        <x:v>0</x:v>
      </x:c>
      <x:c r="I42" t="str">
        <x:v>Stonecrete block</x:v>
      </x:c>
      <x:c r="J42" t="str">
        <x:v>proxy</x:v>
      </x:c>
      <x:c r="K42" t="str">
        <x:v>898618b6-3306-11dd-bd11-0800200c9a66</x:v>
      </x:c>
      <x:c r="L42" t="str">
        <x:v>Lightweight concrete block, production mix, at plant, expanded clay as base material</x:v>
      </x:c>
      <x:c r="M42" s="42" t="b">
        <x:v>1</x:v>
      </x:c>
      <x:c r="N42" s="42" t="b">
        <x:v>1</x:v>
      </x:c>
      <x:c r="O42" t="str">
        <x:v>ok</x:v>
      </x:c>
      <x:c r="P42" t="n">
        <x:v>9.100366696000037</x:v>
      </x:c>
      <x:c r="Q42" t="n">
        <x:v>137</x:v>
      </x:c>
      <x:c r="R42" s="42" t="b">
        <x:v>0</x:v>
      </x:c>
      <x:c r="S42" s="42" t="b">
        <x:v>1</x:v>
      </x:c>
      <x:c r="T42" t="n">
        <x:v>1</x:v>
      </x:c>
      <x:c r="U42" t="n">
        <x:v>1</x:v>
      </x:c>
      <x:c r="V42" t="n">
        <x:v>1</x:v>
      </x:c>
      <x:c r="W42" s="42" t="b">
        <x:v>1</x:v>
      </x:c>
      <x:c r="X42" s="42" t="b">
        <x:v>1</x:v>
      </x:c>
      <x:c r="Y42"/>
      <x:c r="Z42" s="42" t="b">
        <x:v>1</x:v>
      </x:c>
      <x:c r="AA42" t="str">
        <x:v>898618b6-3306-11dd-bd11-0800200c9a66</x:v>
      </x:c>
      <x:c r="AB42" t="str">
        <x:v>Stonecrete Block</x:v>
      </x:c>
    </x:row>
    <x:row r="43">
      <x:c r="A43" t="str">
        <x:v>qwen</x:v>
      </x:c>
      <x:c r="B43" t="str">
        <x:v>S07</x:v>
      </x:c>
      <x:c r="C43" t="str">
        <x:v>Stonecrete House</x:v>
      </x:c>
      <x:c r="D43" t="str">
        <x:v>Rebar TMT Fe500</x:v>
      </x:c>
      <x:c r="E43" t="str">
        <x:v>direct</x:v>
      </x:c>
      <x:c r="F43" s="42" t="b">
        <x:v>0</x:v>
      </x:c>
      <x:c r="G43" t="n">
        <x:v>1</x:v>
      </x:c>
      <x:c r="H43" t="n">
        <x:v>1</x:v>
      </x:c>
      <x:c r="I43" t="str">
        <x:v>Steel Rebar</x:v>
      </x:c>
      <x:c r="J43" t="str">
        <x:v>direct</x:v>
      </x:c>
      <x:c r="K43" t="str">
        <x:v>268a11fb-baf2-4b9e-8867-38bea0e76ef6</x:v>
      </x:c>
      <x:c r="L43" t="str">
        <x:v>Steel rebar, production mix, at plant, blast furnace and electric arc furnace route,</x:v>
      </x:c>
      <x:c r="M43" s="42" t="b">
        <x:v>1</x:v>
      </x:c>
      <x:c r="N43" s="42" t="b">
        <x:v>1</x:v>
      </x:c>
      <x:c r="O43" t="str">
        <x:v>ok</x:v>
      </x:c>
      <x:c r="P43" t="n">
        <x:v>4.249313291000135</x:v>
      </x:c>
      <x:c r="Q43" t="n">
        <x:v>62</x:v>
      </x:c>
      <x:c r="R43" s="42" t="b">
        <x:v>0</x:v>
      </x:c>
      <x:c r="S43" s="42" t="b">
        <x:v>0</x:v>
      </x:c>
      <x:c r="T43" t="n">
        <x:v>0.625</x:v>
      </x:c>
      <x:c r="U43" t="n">
        <x:v>1</x:v>
      </x:c>
      <x:c r="V43" t="n">
        <x:v>1</x:v>
      </x:c>
      <x:c r="W43" s="42" t="b">
        <x:v>1</x:v>
      </x:c>
      <x:c r="X43" s="42" t="b">
        <x:v>1</x:v>
      </x:c>
      <x:c r="Y43"/>
      <x:c r="Z43" s="42" t="b">
        <x:v>0</x:v>
      </x:c>
      <x:c r="AA43" t="str">
        <x:v>268a11fb-baf2-4b9e-8867-38bea0e76ef6</x:v>
      </x:c>
      <x:c r="AB43" t="str">
        <x:v>Rebar</x:v>
      </x:c>
    </x:row>
    <x:row r="44">
      <x:c r="A44" t="str">
        <x:v>qwen</x:v>
      </x:c>
      <x:c r="B44" t="str">
        <x:v>S08</x:v>
      </x:c>
      <x:c r="C44" t="str">
        <x:v>Stonecrete House</x:v>
      </x:c>
      <x:c r="D44" t="str">
        <x:v>Binding Wire (soft annealed, 18-gauge)</x:v>
      </x:c>
      <x:c r="E44" t="str">
        <x:v>proxy</x:v>
      </x:c>
      <x:c r="F44" s="42" t="b">
        <x:v>0</x:v>
      </x:c>
      <x:c r="G44" t="n">
        <x:v>0</x:v>
      </x:c>
      <x:c r="H44" t="n">
        <x:v>0</x:v>
      </x:c>
      <x:c r="I44" t="str">
        <x:v>Steel Wire</x:v>
      </x:c>
      <x:c r="J44" t="str">
        <x:v>direct</x:v>
      </x:c>
      <x:c r="K44" t="str">
        <x:v>b0b413a1-2a7d-4cb5-a108-bfd7b37502e4</x:v>
      </x:c>
      <x:c r="L44" t="str">
        <x:v>Steel hot rolled coil, including recycling, production mix, at plant, blast furnace route, 1kg, typical thickness between 2 - 7 mm. typical width between 600 - 2100 mm</x:v>
      </x:c>
      <x:c r="M44" s="42" t="b">
        <x:v>1</x:v>
      </x:c>
      <x:c r="N44" s="42" t="b">
        <x:v>1</x:v>
      </x:c>
      <x:c r="O44" t="str">
        <x:v>ok</x:v>
      </x:c>
      <x:c r="P44" t="n">
        <x:v>4.910482061000039</x:v>
      </x:c>
      <x:c r="Q44" t="n">
        <x:v>62</x:v>
      </x:c>
      <x:c r="R44" s="42" t="b">
        <x:v>0</x:v>
      </x:c>
      <x:c r="S44" s="42" t="b">
        <x:v>0</x:v>
      </x:c>
      <x:c r="T44" t="n">
        <x:v>0.7143</x:v>
      </x:c>
      <x:c r="U44" t="n">
        <x:v>0</x:v>
      </x:c>
      <x:c r="V44"/>
      <x:c r="W44" s="42" t="b">
        <x:v>0</x:v>
      </x:c>
      <x:c r="X44" s="42" t="b">
        <x:v>1</x:v>
      </x:c>
      <x:c r="Y44"/>
      <x:c r="Z44" s="42" t="b">
        <x:v>0</x:v>
      </x:c>
      <x:c r="AA44" t="str">
        <x:v>09d61948-238a-40e7-8e1f-afdc0c98f902</x:v>
      </x:c>
      <x:c r="AB44" t="str">
        <x:v>Steel binding wire</x:v>
      </x:c>
    </x:row>
    <x:row r="45">
      <x:c r="A45" t="str">
        <x:v>qwen</x:v>
      </x:c>
      <x:c r="B45" t="str">
        <x:v>S09</x:v>
      </x:c>
      <x:c r="C45" t="str">
        <x:v>Stonecrete House</x:v>
      </x:c>
      <x:c r="D45" t="str">
        <x:v>Corrugated Galvanized Iron (CGI) Sheet, 0.45 mm BMT</x:v>
      </x:c>
      <x:c r="E45" t="str">
        <x:v>proxy</x:v>
      </x:c>
      <x:c r="F45" s="42" t="b">
        <x:v>0</x:v>
      </x:c>
      <x:c r="G45" t="n">
        <x:v>1</x:v>
      </x:c>
      <x:c r="H45" t="n">
        <x:v>0</x:v>
      </x:c>
      <x:c r="I45" t="str">
        <x:v>Corrugated Galvanized Iron Sheet</x:v>
      </x:c>
      <x:c r="J45" t="str">
        <x:v>proxy</x:v>
      </x:c>
      <x:c r="K45" t="str">
        <x:v>339b2536-c881-409d-ac71-49ab0d228fe3</x:v>
      </x:c>
      <x:c r="L45" t="str">
        <x:v>Steel hot dip galvanized (ILCD), production mix, at plant, blast furnace route, 1kg, typical thickness between 0.3 - 3 mm. typical width between 600 - 2100 mm.</x:v>
      </x:c>
      <x:c r="M45" s="42" t="b">
        <x:v>1</x:v>
      </x:c>
      <x:c r="N45" s="42" t="b">
        <x:v>1</x:v>
      </x:c>
      <x:c r="O45" t="str">
        <x:v>ok</x:v>
      </x:c>
      <x:c r="P45" t="n">
        <x:v>6.718864222999855</x:v>
      </x:c>
      <x:c r="Q45" t="n">
        <x:v>101</x:v>
      </x:c>
      <x:c r="R45" s="42" t="b">
        <x:v>0</x:v>
      </x:c>
      <x:c r="S45" s="42" t="b">
        <x:v>0</x:v>
      </x:c>
      <x:c r="T45" t="n">
        <x:v>0.8615</x:v>
      </x:c>
      <x:c r="U45" t="n">
        <x:v>1</x:v>
      </x:c>
      <x:c r="V45" t="n">
        <x:v>1</x:v>
      </x:c>
      <x:c r="W45" s="42" t="b">
        <x:v>1</x:v>
      </x:c>
      <x:c r="X45" s="42" t="b">
        <x:v>1</x:v>
      </x:c>
      <x:c r="Y45"/>
      <x:c r="Z45" s="42" t="b">
        <x:v>0</x:v>
      </x:c>
      <x:c r="AA45" t="str">
        <x:v>339b2536-c881-409d-ac71-49ab0d228fe3</x:v>
      </x:c>
      <x:c r="AB45" t="str">
        <x:v>Corrugated galvanized steel sheet</x:v>
      </x:c>
    </x:row>
    <x:row r="46">
      <x:c r="A46" t="str">
        <x:v>qwen</x:v>
      </x:c>
      <x:c r="B46" t="str">
        <x:v>S10</x:v>
      </x:c>
      <x:c r="C46" t="str">
        <x:v>Stonecrete House</x:v>
      </x:c>
      <x:c r="D46" t="str">
        <x:v>Timber for purlin, rafter, and column post</x:v>
      </x:c>
      <x:c r="E46" t="str">
        <x:v>proxy</x:v>
      </x:c>
      <x:c r="F46" s="42" t="b">
        <x:v>0</x:v>
      </x:c>
      <x:c r="G46" t="n">
        <x:v>1</x:v>
      </x:c>
      <x:c r="H46" t="n">
        <x:v>0</x:v>
      </x:c>
      <x:c r="I46" t="str">
        <x:v>Timber</x:v>
      </x:c>
      <x:c r="J46" t="str">
        <x:v>proxy</x:v>
      </x:c>
      <x:c r="K46" t="str">
        <x:v>2b61a4d6-bd1d-4ea3-828c-fdbdf5fca1f9</x:v>
      </x:c>
      <x:c r="L46" t="str">
        <x:v>Spruce wood, production mix, at saw mill, timber, 40% water content</x:v>
      </x:c>
      <x:c r="M46" s="42" t="b">
        <x:v>1</x:v>
      </x:c>
      <x:c r="N46" s="42" t="b">
        <x:v>1</x:v>
      </x:c>
      <x:c r="O46" t="str">
        <x:v>ok</x:v>
      </x:c>
      <x:c r="P46" t="n">
        <x:v>6.711351023999896</x:v>
      </x:c>
      <x:c r="Q46" t="n">
        <x:v>93</x:v>
      </x:c>
      <x:c r="R46" s="42" t="b">
        <x:v>0</x:v>
      </x:c>
      <x:c r="S46" s="42" t="b">
        <x:v>1</x:v>
      </x:c>
      <x:c r="T46" t="n">
        <x:v>1</x:v>
      </x:c>
      <x:c r="U46" t="n">
        <x:v>1</x:v>
      </x:c>
      <x:c r="V46" t="n">
        <x:v>1</x:v>
      </x:c>
      <x:c r="W46" s="42" t="b">
        <x:v>1</x:v>
      </x:c>
      <x:c r="X46" s="42" t="b">
        <x:v>1</x:v>
      </x:c>
      <x:c r="Y46"/>
      <x:c r="Z46" s="42" t="b">
        <x:v>1</x:v>
      </x:c>
      <x:c r="AA46" t="str">
        <x:v>2b61a4d6-bd1d-4ea3-828c-fdbdf5fca1f9</x:v>
      </x:c>
      <x:c r="AB46" t="str">
        <x:v>Timber</x:v>
      </x:c>
    </x:row>
    <x:row r="47">
      <x:c r="A47" t="str">
        <x:v>qwen</x:v>
      </x:c>
      <x:c r="B47" t="str">
        <x:v>S11</x:v>
      </x:c>
      <x:c r="C47" t="str">
        <x:v>Stonecrete House</x:v>
      </x:c>
      <x:c r="D47" t="str">
        <x:v>Plaster 1:4 — External Walls, 15 mm thick</x:v>
      </x:c>
      <x:c r="E47" t="str">
        <x:v>review_required</x:v>
      </x:c>
      <x:c r="F47" s="42" t="b">
        <x:v>1</x:v>
      </x:c>
      <x:c r="G47"/>
      <x:c r="H47"/>
      <x:c r="I47" t="str">
        <x:v>Plaster</x:v>
      </x:c>
      <x:c r="J47" t="str">
        <x:v>direct</x:v>
      </x:c>
      <x:c r="K47" t="str">
        <x:v>da78eea3-ead1-4379-80af-14a991a2a746</x:v>
      </x:c>
      <x:c r="L47" t="str">
        <x:v>Porocalce plaster production, Production mix at plant - Southern Italy, Porocalce plaster - Milling and mixing of sand, perlite, expanded glass, calcium hydroxide, 1 kg, Plaster</x:v>
      </x:c>
      <x:c r="M47" s="42" t="b">
        <x:v>1</x:v>
      </x:c>
      <x:c r="N47" s="42" t="b">
        <x:v>1</x:v>
      </x:c>
      <x:c r="O47" t="str">
        <x:v>ok</x:v>
      </x:c>
      <x:c r="P47" t="n">
        <x:v>4.221236383999894</x:v>
      </x:c>
      <x:c r="Q47" t="n">
        <x:v>60</x:v>
      </x:c>
      <x:c r="R47" s="42" t="b">
        <x:v>0</x:v>
      </x:c>
      <x:c r="S47" s="42" t="b">
        <x:v>0</x:v>
      </x:c>
      <x:c r="T47" t="n">
        <x:v>0.5385</x:v>
      </x:c>
      <x:c r="U47"/>
      <x:c r="V47"/>
      <x:c r="W47" s="42" t="b">
        <x:v>0</x:v>
      </x:c>
      <x:c r="X47" s="42" t="b">
        <x:v>0</x:v>
      </x:c>
      <x:c r="Y47" t="n">
        <x:v>0</x:v>
      </x:c>
      <x:c r="Z47" s="42" t="b">
        <x:v>0</x:v>
      </x:c>
      <x:c r="AA47"/>
      <x:c r="AB47" t="str">
        <x:v>Cement-sand plaster</x:v>
      </x:c>
    </x:row>
    <x:row r="48">
      <x:c r="A48" t="str">
        <x:v>qwen</x:v>
      </x:c>
      <x:c r="B48" t="str">
        <x:v>S12</x:v>
      </x:c>
      <x:c r="C48" t="str">
        <x:v>Stonecrete House</x:v>
      </x:c>
      <x:c r="D48" t="str">
        <x:v>Plaster 1:6 — Internal Walls, 12 mm thick</x:v>
      </x:c>
      <x:c r="E48" t="str">
        <x:v>review_required</x:v>
      </x:c>
      <x:c r="F48" s="42" t="b">
        <x:v>1</x:v>
      </x:c>
      <x:c r="G48"/>
      <x:c r="H48"/>
      <x:c r="I48" t="str">
        <x:v>Plaster</x:v>
      </x:c>
      <x:c r="J48" t="str">
        <x:v>proxy</x:v>
      </x:c>
      <x:c r="K48" t="str">
        <x:v>da78eea3-ead1-4379-80af-14a991a2a746</x:v>
      </x:c>
      <x:c r="L48" t="str">
        <x:v>Porocalce plaster production, Production mix at plant - Southern Italy, Porocalce plaster - Milling and mixing of sand, perlite, expanded glass, calcium hydroxide, 1 kg, Plaster</x:v>
      </x:c>
      <x:c r="M48" s="42" t="b">
        <x:v>1</x:v>
      </x:c>
      <x:c r="N48" s="42" t="b">
        <x:v>1</x:v>
      </x:c>
      <x:c r="O48" t="str">
        <x:v>ok</x:v>
      </x:c>
      <x:c r="P48" t="n">
        <x:v>4.458024931999944</x:v>
      </x:c>
      <x:c r="Q48" t="n">
        <x:v>60</x:v>
      </x:c>
      <x:c r="R48" s="42" t="b">
        <x:v>0</x:v>
      </x:c>
      <x:c r="S48" s="42" t="b">
        <x:v>0</x:v>
      </x:c>
      <x:c r="T48" t="n">
        <x:v>0.5385</x:v>
      </x:c>
      <x:c r="U48"/>
      <x:c r="V48"/>
      <x:c r="W48" s="42" t="b">
        <x:v>0</x:v>
      </x:c>
      <x:c r="X48" s="42" t="b">
        <x:v>0</x:v>
      </x:c>
      <x:c r="Y48" t="n">
        <x:v>0</x:v>
      </x:c>
      <x:c r="Z48" s="42" t="b">
        <x:v>0</x:v>
      </x:c>
      <x:c r="AA48"/>
      <x:c r="AB48" t="str">
        <x:v>Cement-sand plaster</x:v>
      </x:c>
    </x:row>
    <x:row r="49">
      <x:c r="A49" t="str">
        <x:v>qwen</x:v>
      </x:c>
      <x:c r="B49" t="str">
        <x:v>B01</x:v>
      </x:c>
      <x:c r="C49" t="str">
        <x:v>Bamboo House</x:v>
      </x:c>
      <x:c r="D49" t="str">
        <x:v>Cement</x:v>
      </x:c>
      <x:c r="E49" t="str">
        <x:v>direct</x:v>
      </x:c>
      <x:c r="F49" s="42" t="b">
        <x:v>0</x:v>
      </x:c>
      <x:c r="G49" t="n">
        <x:v>1</x:v>
      </x:c>
      <x:c r="H49" t="n">
        <x:v>1</x:v>
      </x:c>
      <x:c r="I49" t="str">
        <x:v>Cement</x:v>
      </x:c>
      <x:c r="J49" t="str">
        <x:v>direct</x:v>
      </x:c>
      <x:c r="K49" t="str">
        <x:v>600573dd-dfa5-44e5-b458-8727e793ffd7</x:v>
      </x:c>
      <x:c r="L49" t="str">
        <x:v>Portland cement (CEM I), CEMBUREAU production mix, at plant, CEMBUREAU technology mix, EN 197-1</x:v>
      </x:c>
      <x:c r="M49" s="42" t="b">
        <x:v>1</x:v>
      </x:c>
      <x:c r="N49" s="42" t="b">
        <x:v>1</x:v>
      </x:c>
      <x:c r="O49" t="str">
        <x:v>ok</x:v>
      </x:c>
      <x:c r="P49" t="n">
        <x:v>4.346062405000112</x:v>
      </x:c>
      <x:c r="Q49" t="n">
        <x:v>60</x:v>
      </x:c>
      <x:c r="R49" s="42" t="b">
        <x:v>0</x:v>
      </x:c>
      <x:c r="S49" s="42" t="b">
        <x:v>1</x:v>
      </x:c>
      <x:c r="T49" t="n">
        <x:v>1</x:v>
      </x:c>
      <x:c r="U49" t="n">
        <x:v>1</x:v>
      </x:c>
      <x:c r="V49" t="n">
        <x:v>1</x:v>
      </x:c>
      <x:c r="W49" s="42" t="b">
        <x:v>1</x:v>
      </x:c>
      <x:c r="X49" s="42" t="b">
        <x:v>1</x:v>
      </x:c>
      <x:c r="Y49"/>
      <x:c r="Z49" s="42" t="b">
        <x:v>1</x:v>
      </x:c>
      <x:c r="AA49" t="str">
        <x:v>600573dd-dfa5-44e5-b458-8727e793ffd7</x:v>
      </x:c>
      <x:c r="AB49" t="str">
        <x:v>Cement</x:v>
      </x:c>
    </x:row>
    <x:row r="50">
      <x:c r="A50" t="str">
        <x:v>qwen</x:v>
      </x:c>
      <x:c r="B50" t="str">
        <x:v>B02</x:v>
      </x:c>
      <x:c r="C50" t="str">
        <x:v>Bamboo House</x:v>
      </x:c>
      <x:c r="D50" t="str">
        <x:v>Sand</x:v>
      </x:c>
      <x:c r="E50" t="str">
        <x:v>direct</x:v>
      </x:c>
      <x:c r="F50" s="42" t="b">
        <x:v>0</x:v>
      </x:c>
      <x:c r="G50" t="n">
        <x:v>1</x:v>
      </x:c>
      <x:c r="H50" t="n">
        <x:v>1</x:v>
      </x:c>
      <x:c r="I50" t="str">
        <x:v>sand</x:v>
      </x:c>
      <x:c r="J50" t="str">
        <x:v>proxy</x:v>
      </x:c>
      <x:c r="K50" t="str">
        <x:v>898618b1-3306-11dd-bd11-0800200c9a66</x:v>
      </x:c>
      <x:c r="L50" t="str">
        <x:v>Sand 0/2, production mix, at plant, wet and dry quarry, undried</x:v>
      </x:c>
      <x:c r="M50" s="42" t="b">
        <x:v>1</x:v>
      </x:c>
      <x:c r="N50" s="42" t="b">
        <x:v>1</x:v>
      </x:c>
      <x:c r="O50" t="str">
        <x:v>ok</x:v>
      </x:c>
      <x:c r="P50" t="n">
        <x:v>6.415774176000014</x:v>
      </x:c>
      <x:c r="Q50" t="n">
        <x:v>100</x:v>
      </x:c>
      <x:c r="R50" s="42" t="b">
        <x:v>0</x:v>
      </x:c>
      <x:c r="S50" s="42" t="b">
        <x:v>1</x:v>
      </x:c>
      <x:c r="T50" t="n">
        <x:v>1</x:v>
      </x:c>
      <x:c r="U50" t="n">
        <x:v>1</x:v>
      </x:c>
      <x:c r="V50" t="n">
        <x:v>1</x:v>
      </x:c>
      <x:c r="W50" s="42" t="b">
        <x:v>0</x:v>
      </x:c>
      <x:c r="X50" s="42" t="b">
        <x:v>1</x:v>
      </x:c>
      <x:c r="Y50"/>
      <x:c r="Z50" s="42" t="b">
        <x:v>0</x:v>
      </x:c>
      <x:c r="AA50" t="str">
        <x:v>898618b1-3306-11dd-bd11-0800200c9a66</x:v>
      </x:c>
      <x:c r="AB50" t="str">
        <x:v>Sand</x:v>
      </x:c>
    </x:row>
    <x:row r="51">
      <x:c r="A51" t="str">
        <x:v>qwen</x:v>
      </x:c>
      <x:c r="B51" t="str">
        <x:v>B03</x:v>
      </x:c>
      <x:c r="C51" t="str">
        <x:v>Bamboo House</x:v>
      </x:c>
      <x:c r="D51" t="str">
        <x:v>Natural Gravel</x:v>
      </x:c>
      <x:c r="E51" t="str">
        <x:v>direct</x:v>
      </x:c>
      <x:c r="F51" s="42" t="b">
        <x:v>0</x:v>
      </x:c>
      <x:c r="G51" t="n">
        <x:v>1</x:v>
      </x:c>
      <x:c r="H51" t="n">
        <x:v>0</x:v>
      </x:c>
      <x:c r="I51" t="str">
        <x:v>Natural Gravel</x:v>
      </x:c>
      <x:c r="J51" t="str">
        <x:v>direct</x:v>
      </x:c>
      <x:c r="K51" t="str">
        <x:v>898618b2-3306-11dd-bd11-0800200c9a66</x:v>
      </x:c>
      <x:c r="L51" t="str">
        <x:v>Gravel 2/32, production mix, at plant, wet and dry quarry, undried</x:v>
      </x:c>
      <x:c r="M51" s="42" t="b">
        <x:v>1</x:v>
      </x:c>
      <x:c r="N51" s="42" t="b">
        <x:v>1</x:v>
      </x:c>
      <x:c r="O51" t="str">
        <x:v>ok</x:v>
      </x:c>
      <x:c r="P51" t="n">
        <x:v>4.799762115000021</x:v>
      </x:c>
      <x:c r="Q51" t="n">
        <x:v>65</x:v>
      </x:c>
      <x:c r="R51" s="42" t="b">
        <x:v>0</x:v>
      </x:c>
      <x:c r="S51" s="42" t="b">
        <x:v>0</x:v>
      </x:c>
      <x:c r="T51" t="n">
        <x:v>0.6</x:v>
      </x:c>
      <x:c r="U51" t="n">
        <x:v>1</x:v>
      </x:c>
      <x:c r="V51" t="n">
        <x:v>1</x:v>
      </x:c>
      <x:c r="W51" s="42" t="b">
        <x:v>1</x:v>
      </x:c>
      <x:c r="X51" s="42" t="b">
        <x:v>1</x:v>
      </x:c>
      <x:c r="Y51"/>
      <x:c r="Z51" s="42" t="b">
        <x:v>0</x:v>
      </x:c>
      <x:c r="AA51" t="str">
        <x:v>898618b2-3306-11dd-bd11-0800200c9a66</x:v>
      </x:c>
      <x:c r="AB51" t="str">
        <x:v>Gravel</x:v>
      </x:c>
    </x:row>
    <x:row r="52">
      <x:c r="A52" t="str">
        <x:v>qwen</x:v>
      </x:c>
      <x:c r="B52" t="str">
        <x:v>B04</x:v>
      </x:c>
      <x:c r="C52" t="str">
        <x:v>Bamboo House</x:v>
      </x:c>
      <x:c r="D52" t="str">
        <x:v>Stone</x:v>
      </x:c>
      <x:c r="E52" t="str">
        <x:v>proxy</x:v>
      </x:c>
      <x:c r="F52" s="42" t="b">
        <x:v>0</x:v>
      </x:c>
      <x:c r="G52" t="n">
        <x:v>1</x:v>
      </x:c>
      <x:c r="H52" t="n">
        <x:v>0</x:v>
      </x:c>
      <x:c r="I52" t="str">
        <x:v>Stone</x:v>
      </x:c>
      <x:c r="J52" t="str">
        <x:v>proxy</x:v>
      </x:c>
      <x:c r="K52" t="str">
        <x:v>898618b3-3306-11dd-bd11-0800200c9a66</x:v>
      </x:c>
      <x:c r="L52" t="str">
        <x:v>Crushed stone 16/32, production mix, at plant, open pit mining, undried</x:v>
      </x:c>
      <x:c r="M52" s="42" t="b">
        <x:v>1</x:v>
      </x:c>
      <x:c r="N52" s="42" t="b">
        <x:v>1</x:v>
      </x:c>
      <x:c r="O52" t="str">
        <x:v>ok</x:v>
      </x:c>
      <x:c r="P52" t="n">
        <x:v>4.333534462999978</x:v>
      </x:c>
      <x:c r="Q52" t="n">
        <x:v>63</x:v>
      </x:c>
      <x:c r="R52" s="42" t="b">
        <x:v>0</x:v>
      </x:c>
      <x:c r="S52" s="42" t="b">
        <x:v>1</x:v>
      </x:c>
      <x:c r="T52" t="n">
        <x:v>1</x:v>
      </x:c>
      <x:c r="U52" t="n">
        <x:v>1</x:v>
      </x:c>
      <x:c r="V52" t="n">
        <x:v>1</x:v>
      </x:c>
      <x:c r="W52" s="42" t="b">
        <x:v>1</x:v>
      </x:c>
      <x:c r="X52" s="42" t="b">
        <x:v>1</x:v>
      </x:c>
      <x:c r="Y52"/>
      <x:c r="Z52" s="42" t="b">
        <x:v>1</x:v>
      </x:c>
      <x:c r="AA52" t="str">
        <x:v>898618b3-3306-11dd-bd11-0800200c9a66</x:v>
      </x:c>
      <x:c r="AB52" t="str">
        <x:v>Stone</x:v>
      </x:c>
    </x:row>
    <x:row r="53">
      <x:c r="A53" t="str">
        <x:v>qwen</x:v>
      </x:c>
      <x:c r="B53" t="str">
        <x:v>B05</x:v>
      </x:c>
      <x:c r="C53" t="str">
        <x:v>Bamboo House</x:v>
      </x:c>
      <x:c r="D53" t="str">
        <x:v>Soil</x:v>
      </x:c>
      <x:c r="E53" t="str">
        <x:v>review_required</x:v>
      </x:c>
      <x:c r="F53" s="42" t="b">
        <x:v>1</x:v>
      </x:c>
      <x:c r="G53"/>
      <x:c r="H53"/>
      <x:c r="I53" t="str">
        <x:v>Soil</x:v>
      </x:c>
      <x:c r="J53" t="str">
        <x:v>review_required</x:v>
      </x:c>
      <x:c r="K53"/>
      <x:c r="L53"/>
      <x:c r="M53" s="42" t="b">
        <x:v>1</x:v>
      </x:c>
      <x:c r="N53" s="42" t="b">
        <x:v>1</x:v>
      </x:c>
      <x:c r="O53" t="str">
        <x:v>ok</x:v>
      </x:c>
      <x:c r="P53" t="n">
        <x:v>2.446835230000033</x:v>
      </x:c>
      <x:c r="Q53" t="n">
        <x:v>30</x:v>
      </x:c>
      <x:c r="R53" s="42" t="b">
        <x:v>0</x:v>
      </x:c>
      <x:c r="S53" s="42" t="b">
        <x:v>1</x:v>
      </x:c>
      <x:c r="T53" t="n">
        <x:v>1</x:v>
      </x:c>
      <x:c r="U53"/>
      <x:c r="V53"/>
      <x:c r="W53" s="42" t="b">
        <x:v>1</x:v>
      </x:c>
      <x:c r="X53" s="42" t="b">
        <x:v>1</x:v>
      </x:c>
      <x:c r="Y53" t="n">
        <x:v>1</x:v>
      </x:c>
      <x:c r="Z53" s="42" t="b">
        <x:v>1</x:v>
      </x:c>
      <x:c r="AA53"/>
      <x:c r="AB53" t="str">
        <x:v>Soil</x:v>
      </x:c>
    </x:row>
    <x:row r="54">
      <x:c r="A54" t="str">
        <x:v>qwen</x:v>
      </x:c>
      <x:c r="B54" t="str">
        <x:v>B06</x:v>
      </x:c>
      <x:c r="C54" t="str">
        <x:v>Bamboo House</x:v>
      </x:c>
      <x:c r="D54" t="str">
        <x:v>Local Wood</x:v>
      </x:c>
      <x:c r="E54" t="str">
        <x:v>proxy</x:v>
      </x:c>
      <x:c r="F54" s="42" t="b">
        <x:v>0</x:v>
      </x:c>
      <x:c r="G54" t="n">
        <x:v>1</x:v>
      </x:c>
      <x:c r="H54" t="n">
        <x:v>0</x:v>
      </x:c>
      <x:c r="I54" t="str">
        <x:v>Wood</x:v>
      </x:c>
      <x:c r="J54" t="str">
        <x:v>proxy</x:v>
      </x:c>
      <x:c r="K54" t="str">
        <x:v>2b61a4d6-bd1d-4ea3-828c-fdbdf5fca1f9</x:v>
      </x:c>
      <x:c r="L54" t="str">
        <x:v>Spruce wood, production mix, at saw mill, timber, 40% water content</x:v>
      </x:c>
      <x:c r="M54" s="42" t="b">
        <x:v>0</x:v>
      </x:c>
      <x:c r="N54" s="42" t="b">
        <x:v>0</x:v>
      </x:c>
      <x:c r="O54" t="str">
        <x:v>invalid_ranking</x:v>
      </x:c>
      <x:c r="P54" t="n">
        <x:v>6.436414187000082</x:v>
      </x:c>
      <x:c r="Q54" t="n">
        <x:v>92</x:v>
      </x:c>
      <x:c r="R54" s="42" t="b">
        <x:v>0</x:v>
      </x:c>
      <x:c r="S54" s="42" t="b">
        <x:v>1</x:v>
      </x:c>
      <x:c r="T54" t="n">
        <x:v>1</x:v>
      </x:c>
      <x:c r="U54" t="n">
        <x:v>1</x:v>
      </x:c>
      <x:c r="V54" t="n">
        <x:v>1</x:v>
      </x:c>
      <x:c r="W54" s="42" t="b">
        <x:v>1</x:v>
      </x:c>
      <x:c r="X54" s="42" t="b">
        <x:v>1</x:v>
      </x:c>
      <x:c r="Y54"/>
      <x:c r="Z54" s="42" t="b">
        <x:v>1</x:v>
      </x:c>
      <x:c r="AA54" t="str">
        <x:v>2b61a4d6-bd1d-4ea3-828c-fdbdf5fca1f9</x:v>
      </x:c>
      <x:c r="AB54" t="str">
        <x:v>Wood</x:v>
      </x:c>
    </x:row>
    <x:row r="55">
      <x:c r="A55" t="str">
        <x:v>qwen</x:v>
      </x:c>
      <x:c r="B55" t="str">
        <x:v>B07</x:v>
      </x:c>
      <x:c r="C55" t="str">
        <x:v>Bamboo House</x:v>
      </x:c>
      <x:c r="D55" t="str">
        <x:v>19mm Plywood</x:v>
      </x:c>
      <x:c r="E55" t="str">
        <x:v>proxy</x:v>
      </x:c>
      <x:c r="F55" s="42" t="b">
        <x:v>0</x:v>
      </x:c>
      <x:c r="G55" t="n">
        <x:v>0</x:v>
      </x:c>
      <x:c r="H55" t="n">
        <x:v>0</x:v>
      </x:c>
      <x:c r="I55" t="str">
        <x:v>19mm Plywood</x:v>
      </x:c>
      <x:c r="J55" t="str">
        <x:v>proxy</x:v>
      </x:c>
      <x:c r="K55" t="str">
        <x:v>eafc1196-6888-4f82-aa7c-6012ba1b2fe4</x:v>
      </x:c>
      <x:c r="L55" t="str">
        <x:v>Dummy_Wood</x:v>
      </x:c>
      <x:c r="M55" s="42" t="b">
        <x:v>1</x:v>
      </x:c>
      <x:c r="N55" s="42" t="b">
        <x:v>1</x:v>
      </x:c>
      <x:c r="O55" t="str">
        <x:v>ok</x:v>
      </x:c>
      <x:c r="P55" t="n">
        <x:v>8.164420560000053</x:v>
      </x:c>
      <x:c r="Q55" t="n">
        <x:v>129</x:v>
      </x:c>
      <x:c r="R55" s="42" t="b">
        <x:v>0</x:v>
      </x:c>
      <x:c r="S55" s="42" t="b">
        <x:v>0</x:v>
      </x:c>
      <x:c r="T55" t="n">
        <x:v>0.7368</x:v>
      </x:c>
      <x:c r="U55" t="n">
        <x:v>0</x:v>
      </x:c>
      <x:c r="V55"/>
      <x:c r="W55" s="42" t="b">
        <x:v>1</x:v>
      </x:c>
      <x:c r="X55" s="42" t="b">
        <x:v>1</x:v>
      </x:c>
      <x:c r="Y55"/>
      <x:c r="Z55" s="42" t="b">
        <x:v>0</x:v>
      </x:c>
      <x:c r="AA55" t="str">
        <x:v>f7e0f0fd-fb6b-40b5-9300-bddba423e084</x:v>
      </x:c>
      <x:c r="AB55" t="str">
        <x:v>Plywood</x:v>
      </x:c>
    </x:row>
    <x:row r="56">
      <x:c r="A56" t="str">
        <x:v>qwen</x:v>
      </x:c>
      <x:c r="B56" t="str">
        <x:v>B08</x:v>
      </x:c>
      <x:c r="C56" t="str">
        <x:v>Bamboo House</x:v>
      </x:c>
      <x:c r="D56" t="str">
        <x:v>Nail</x:v>
      </x:c>
      <x:c r="E56" t="str">
        <x:v>proxy</x:v>
      </x:c>
      <x:c r="F56" s="42" t="b">
        <x:v>0</x:v>
      </x:c>
      <x:c r="G56" t="n">
        <x:v>0</x:v>
      </x:c>
      <x:c r="H56" t="n">
        <x:v>0</x:v>
      </x:c>
      <x:c r="I56" t="str">
        <x:v>Nail</x:v>
      </x:c>
      <x:c r="J56" t="str">
        <x:v>proxy</x:v>
      </x:c>
      <x:c r="K56" t="str">
        <x:v>9d66aabb-906f-45f6-b3f3-6d002cae096d</x:v>
      </x:c>
      <x:c r="L56" t="str">
        <x:v>Rail transport, technology mix, electricity driven, cargo</x:v>
      </x:c>
      <x:c r="M56" s="42" t="b">
        <x:v>1</x:v>
      </x:c>
      <x:c r="N56" s="42" t="b">
        <x:v>1</x:v>
      </x:c>
      <x:c r="O56" t="str">
        <x:v>ok</x:v>
      </x:c>
      <x:c r="P56" t="n">
        <x:v>6.203734737000104</x:v>
      </x:c>
      <x:c r="Q56" t="n">
        <x:v>95</x:v>
      </x:c>
      <x:c r="R56" s="42" t="b">
        <x:v>0</x:v>
      </x:c>
      <x:c r="S56" s="42" t="b">
        <x:v>0</x:v>
      </x:c>
      <x:c r="T56" t="n">
        <x:v>0.5714</x:v>
      </x:c>
      <x:c r="U56" t="n">
        <x:v>0</x:v>
      </x:c>
      <x:c r="V56"/>
      <x:c r="W56" s="42" t="b">
        <x:v>1</x:v>
      </x:c>
      <x:c r="X56" s="42" t="b">
        <x:v>1</x:v>
      </x:c>
      <x:c r="Y56"/>
      <x:c r="Z56" s="42" t="b">
        <x:v>0</x:v>
      </x:c>
      <x:c r="AA56" t="str">
        <x:v>09d61948-238a-40e7-8e1f-afdc0c98f902</x:v>
      </x:c>
      <x:c r="AB56" t="str">
        <x:v>Steel nail</x:v>
      </x:c>
    </x:row>
    <x:row r="57">
      <x:c r="A57" t="str">
        <x:v>qwen</x:v>
      </x:c>
      <x:c r="B57" t="str">
        <x:v>B09</x:v>
      </x:c>
      <x:c r="C57" t="str">
        <x:v>Bamboo House</x:v>
      </x:c>
      <x:c r="D57" t="str">
        <x:v>10mm Rebar</x:v>
      </x:c>
      <x:c r="E57" t="str">
        <x:v>direct</x:v>
      </x:c>
      <x:c r="F57" s="42" t="b">
        <x:v>0</x:v>
      </x:c>
      <x:c r="G57" t="n">
        <x:v>1</x:v>
      </x:c>
      <x:c r="H57" t="n">
        <x:v>1</x:v>
      </x:c>
      <x:c r="I57" t="str">
        <x:v>Rebar</x:v>
      </x:c>
      <x:c r="J57" t="str">
        <x:v>direct</x:v>
      </x:c>
      <x:c r="K57" t="str">
        <x:v>268a11fb-baf2-4b9e-8867-38bea0e76ef6</x:v>
      </x:c>
      <x:c r="L57" t="str">
        <x:v>Steel rebar, production mix, at plant, blast furnace and electric arc furnace route,</x:v>
      </x:c>
      <x:c r="M57" s="42" t="b">
        <x:v>1</x:v>
      </x:c>
      <x:c r="N57" s="42" t="b">
        <x:v>1</x:v>
      </x:c>
      <x:c r="O57" t="str">
        <x:v>ok</x:v>
      </x:c>
      <x:c r="P57" t="n">
        <x:v>4.162052790000189</x:v>
      </x:c>
      <x:c r="Q57" t="n">
        <x:v>61</x:v>
      </x:c>
      <x:c r="R57" s="42" t="b">
        <x:v>0</x:v>
      </x:c>
      <x:c r="S57" s="42" t="b">
        <x:v>1</x:v>
      </x:c>
      <x:c r="T57" t="n">
        <x:v>1</x:v>
      </x:c>
      <x:c r="U57" t="n">
        <x:v>1</x:v>
      </x:c>
      <x:c r="V57" t="n">
        <x:v>1</x:v>
      </x:c>
      <x:c r="W57" s="42" t="b">
        <x:v>1</x:v>
      </x:c>
      <x:c r="X57" s="42" t="b">
        <x:v>1</x:v>
      </x:c>
      <x:c r="Y57"/>
      <x:c r="Z57" s="42" t="b">
        <x:v>1</x:v>
      </x:c>
      <x:c r="AA57" t="str">
        <x:v>268a11fb-baf2-4b9e-8867-38bea0e76ef6</x:v>
      </x:c>
      <x:c r="AB57" t="str">
        <x:v>Rebar</x:v>
      </x:c>
    </x:row>
    <x:row r="58">
      <x:c r="A58" t="str">
        <x:v>qwen</x:v>
      </x:c>
      <x:c r="B58" t="str">
        <x:v>B10</x:v>
      </x:c>
      <x:c r="C58" t="str">
        <x:v>Bamboo House</x:v>
      </x:c>
      <x:c r="D58" t="str">
        <x:v>7mm Rebar</x:v>
      </x:c>
      <x:c r="E58" t="str">
        <x:v>direct</x:v>
      </x:c>
      <x:c r="F58" s="42" t="b">
        <x:v>0</x:v>
      </x:c>
      <x:c r="G58" t="n">
        <x:v>1</x:v>
      </x:c>
      <x:c r="H58" t="n">
        <x:v>1</x:v>
      </x:c>
      <x:c r="I58" t="str">
        <x:v>Rebar</x:v>
      </x:c>
      <x:c r="J58" t="str">
        <x:v>direct</x:v>
      </x:c>
      <x:c r="K58" t="str">
        <x:v>268a11fb-baf2-4b9e-8867-38bea0e76ef6</x:v>
      </x:c>
      <x:c r="L58" t="str">
        <x:v>Steel rebar, production mix, at plant, blast furnace and electric arc furnace route,</x:v>
      </x:c>
      <x:c r="M58" s="42" t="b">
        <x:v>1</x:v>
      </x:c>
      <x:c r="N58" s="42" t="b">
        <x:v>1</x:v>
      </x:c>
      <x:c r="O58" t="str">
        <x:v>ok</x:v>
      </x:c>
      <x:c r="P58" t="n">
        <x:v>4.722283384999855</x:v>
      </x:c>
      <x:c r="Q58" t="n">
        <x:v>61</x:v>
      </x:c>
      <x:c r="R58" s="42" t="b">
        <x:v>0</x:v>
      </x:c>
      <x:c r="S58" s="42" t="b">
        <x:v>1</x:v>
      </x:c>
      <x:c r="T58" t="n">
        <x:v>1</x:v>
      </x:c>
      <x:c r="U58" t="n">
        <x:v>1</x:v>
      </x:c>
      <x:c r="V58" t="n">
        <x:v>1</x:v>
      </x:c>
      <x:c r="W58" s="42" t="b">
        <x:v>1</x:v>
      </x:c>
      <x:c r="X58" s="42" t="b">
        <x:v>1</x:v>
      </x:c>
      <x:c r="Y58"/>
      <x:c r="Z58" s="42" t="b">
        <x:v>1</x:v>
      </x:c>
      <x:c r="AA58" t="str">
        <x:v>268a11fb-baf2-4b9e-8867-38bea0e76ef6</x:v>
      </x:c>
      <x:c r="AB58" t="str">
        <x:v>Rebar</x:v>
      </x:c>
    </x:row>
    <x:row r="59">
      <x:c r="A59" t="str">
        <x:v>qwen</x:v>
      </x:c>
      <x:c r="B59" t="str">
        <x:v>B11</x:v>
      </x:c>
      <x:c r="C59" t="str">
        <x:v>Bamboo House</x:v>
      </x:c>
      <x:c r="D59" t="str">
        <x:v>Binding Wire</x:v>
      </x:c>
      <x:c r="E59" t="str">
        <x:v>proxy</x:v>
      </x:c>
      <x:c r="F59" s="42" t="b">
        <x:v>0</x:v>
      </x:c>
      <x:c r="G59" t="n">
        <x:v>0</x:v>
      </x:c>
      <x:c r="H59" t="n">
        <x:v>0</x:v>
      </x:c>
      <x:c r="I59" t="str">
        <x:v>Binding Wire</x:v>
      </x:c>
      <x:c r="J59" t="str">
        <x:v>direct</x:v>
      </x:c>
      <x:c r="K59" t="str">
        <x:v>11bceac4-b3d8-4048-8e80-b691ecd2c261</x:v>
      </x:c>
      <x:c r="L59" t="str">
        <x:v>Copper wire, consumption mix, at plant, technology mix, cross section 1 mmy</x:v>
      </x:c>
      <x:c r="M59" s="42" t="b">
        <x:v>1</x:v>
      </x:c>
      <x:c r="N59" s="42" t="b">
        <x:v>1</x:v>
      </x:c>
      <x:c r="O59" t="str">
        <x:v>ok</x:v>
      </x:c>
      <x:c r="P59" t="n">
        <x:v>6.117415738000091</x:v>
      </x:c>
      <x:c r="Q59" t="n">
        <x:v>94</x:v>
      </x:c>
      <x:c r="R59" s="42" t="b">
        <x:v>0</x:v>
      </x:c>
      <x:c r="S59" s="42" t="b">
        <x:v>0</x:v>
      </x:c>
      <x:c r="T59" t="n">
        <x:v>0.8</x:v>
      </x:c>
      <x:c r="U59" t="n">
        <x:v>0</x:v>
      </x:c>
      <x:c r="V59"/>
      <x:c r="W59" s="42" t="b">
        <x:v>0</x:v>
      </x:c>
      <x:c r="X59" s="42" t="b">
        <x:v>1</x:v>
      </x:c>
      <x:c r="Y59"/>
      <x:c r="Z59" s="42" t="b">
        <x:v>0</x:v>
      </x:c>
      <x:c r="AA59" t="str">
        <x:v>09d61948-238a-40e7-8e1f-afdc0c98f902</x:v>
      </x:c>
      <x:c r="AB59" t="str">
        <x:v>Steel binding wire</x:v>
      </x:c>
    </x:row>
    <x:row r="60">
      <x:c r="A60" t="str">
        <x:v>qwen</x:v>
      </x:c>
      <x:c r="B60" t="str">
        <x:v>B12</x:v>
      </x:c>
      <x:c r="C60" t="str">
        <x:v>Bamboo House</x:v>
      </x:c>
      <x:c r="D60" t="str">
        <x:v>24 Gauge CGI Sheets</x:v>
      </x:c>
      <x:c r="E60" t="str">
        <x:v>proxy</x:v>
      </x:c>
      <x:c r="F60" s="42" t="b">
        <x:v>0</x:v>
      </x:c>
      <x:c r="G60" t="n">
        <x:v>0</x:v>
      </x:c>
      <x:c r="H60" t="n">
        <x:v>0</x:v>
      </x:c>
      <x:c r="I60" t="str">
        <x:v>24 Gauge CGI Sheets</x:v>
      </x:c>
      <x:c r="J60" t="str">
        <x:v>proxy</x:v>
      </x:c>
      <x:c r="K60" t="str">
        <x:v>7311da1a-673f-96b5-66ef-00004409928e</x:v>
      </x:c>
      <x:c r="L60" t="str">
        <x:v>corrugated board sheets, production mix, at plant, technology mix, 18% primary fibre, 82 % recycled fibre</x:v>
      </x:c>
      <x:c r="M60" s="42" t="b">
        <x:v>1</x:v>
      </x:c>
      <x:c r="N60" s="42" t="b">
        <x:v>1</x:v>
      </x:c>
      <x:c r="O60" t="str">
        <x:v>ok</x:v>
      </x:c>
      <x:c r="P60" t="n">
        <x:v>4.913030067000136</x:v>
      </x:c>
      <x:c r="Q60" t="n">
        <x:v>67</x:v>
      </x:c>
      <x:c r="R60" s="42" t="b">
        <x:v>0</x:v>
      </x:c>
      <x:c r="S60" s="42" t="b">
        <x:v>0</x:v>
      </x:c>
      <x:c r="T60" t="n">
        <x:v>0.4615</x:v>
      </x:c>
      <x:c r="U60" t="n">
        <x:v>0</x:v>
      </x:c>
      <x:c r="V60"/>
      <x:c r="W60" s="42" t="b">
        <x:v>1</x:v>
      </x:c>
      <x:c r="X60" s="42" t="b">
        <x:v>1</x:v>
      </x:c>
      <x:c r="Y60"/>
      <x:c r="Z60" s="42" t="b">
        <x:v>0</x:v>
      </x:c>
      <x:c r="AA60" t="str">
        <x:v>339b2536-c881-409d-ac71-49ab0d228fe3</x:v>
      </x:c>
      <x:c r="AB60" t="str">
        <x:v>Corrugated galvanized steel sheet</x:v>
      </x:c>
    </x:row>
    <x:row r="61">
      <x:c r="A61" t="str">
        <x:v>qwen</x:v>
      </x:c>
      <x:c r="B61" t="str">
        <x:v>B13</x:v>
      </x:c>
      <x:c r="C61" t="str">
        <x:v>Bamboo House</x:v>
      </x:c>
      <x:c r="D61" t="str">
        <x:v>3mm Commercial Plywood</x:v>
      </x:c>
      <x:c r="E61" t="str">
        <x:v>proxy</x:v>
      </x:c>
      <x:c r="F61" s="42" t="b">
        <x:v>0</x:v>
      </x:c>
      <x:c r="G61" t="n">
        <x:v>0</x:v>
      </x:c>
      <x:c r="H61" t="n">
        <x:v>0</x:v>
      </x:c>
      <x:c r="I61" t="str">
        <x:v>Commercial Plywood</x:v>
      </x:c>
      <x:c r="J61" t="str">
        <x:v>proxy</x:v>
      </x:c>
      <x:c r="K61" t="str">
        <x:v>9cdee12d-29bf-4621-87d9-52ebbef06070</x:v>
      </x:c>
      <x:c r="L61" t="str">
        <x:v>Dummy_Wooden pallet (EURO)</x:v>
      </x:c>
      <x:c r="M61" s="42" t="b">
        <x:v>1</x:v>
      </x:c>
      <x:c r="N61" s="42" t="b">
        <x:v>1</x:v>
      </x:c>
      <x:c r="O61" t="str">
        <x:v>ok</x:v>
      </x:c>
      <x:c r="P61" t="n">
        <x:v>5.880243013999916</x:v>
      </x:c>
      <x:c r="Q61" t="n">
        <x:v>93</x:v>
      </x:c>
      <x:c r="R61" s="42" t="b">
        <x:v>0</x:v>
      </x:c>
      <x:c r="S61" s="42" t="b">
        <x:v>0</x:v>
      </x:c>
      <x:c r="T61" t="n">
        <x:v>0.56</x:v>
      </x:c>
      <x:c r="U61" t="n">
        <x:v>0</x:v>
      </x:c>
      <x:c r="V61"/>
      <x:c r="W61" s="42" t="b">
        <x:v>1</x:v>
      </x:c>
      <x:c r="X61" s="42" t="b">
        <x:v>1</x:v>
      </x:c>
      <x:c r="Y61"/>
      <x:c r="Z61" s="42" t="b">
        <x:v>0</x:v>
      </x:c>
      <x:c r="AA61" t="str">
        <x:v>f7e0f0fd-fb6b-40b5-9300-bddba423e084</x:v>
      </x:c>
      <x:c r="AB61" t="str">
        <x:v>Plywood</x:v>
      </x:c>
    </x:row>
    <x:row r="62">
      <x:c r="A62" t="str">
        <x:v>qwen</x:v>
      </x:c>
      <x:c r="B62" t="str">
        <x:v>B14</x:v>
      </x:c>
      <x:c r="C62" t="str">
        <x:v>Bamboo House</x:v>
      </x:c>
      <x:c r="D62" t="str">
        <x:v>Bamboo</x:v>
      </x:c>
      <x:c r="E62" t="str">
        <x:v>review_required</x:v>
      </x:c>
      <x:c r="F62" s="42" t="b">
        <x:v>1</x:v>
      </x:c>
      <x:c r="G62"/>
      <x:c r="H62"/>
      <x:c r="I62" t="str">
        <x:v>Bamboo</x:v>
      </x:c>
      <x:c r="J62" t="str">
        <x:v>review_required</x:v>
      </x:c>
      <x:c r="K62"/>
      <x:c r="L62"/>
      <x:c r="M62" s="42" t="b">
        <x:v>1</x:v>
      </x:c>
      <x:c r="N62" s="42" t="b">
        <x:v>1</x:v>
      </x:c>
      <x:c r="O62" t="str">
        <x:v>ok</x:v>
      </x:c>
      <x:c r="P62" t="n">
        <x:v>2.514657005999879</x:v>
      </x:c>
      <x:c r="Q62" t="n">
        <x:v>31</x:v>
      </x:c>
      <x:c r="R62" s="42" t="b">
        <x:v>0</x:v>
      </x:c>
      <x:c r="S62" s="42" t="b">
        <x:v>1</x:v>
      </x:c>
      <x:c r="T62" t="n">
        <x:v>1</x:v>
      </x:c>
      <x:c r="U62"/>
      <x:c r="V62"/>
      <x:c r="W62" s="42" t="b">
        <x:v>1</x:v>
      </x:c>
      <x:c r="X62" s="42" t="b">
        <x:v>1</x:v>
      </x:c>
      <x:c r="Y62" t="n">
        <x:v>1</x:v>
      </x:c>
      <x:c r="Z62" s="42" t="b">
        <x:v>1</x:v>
      </x:c>
      <x:c r="AA62"/>
      <x:c r="AB62" t="str">
        <x:v>Bamboo</x:v>
      </x:c>
    </x:row>
    <x:row r="63">
      <x:c r="A63" t="str">
        <x:v>qwen</x:v>
      </x:c>
      <x:c r="B63" t="str">
        <x:v>A01</x:v>
      </x:c>
      <x:c r="C63" t="str">
        <x:v>Bamboo House with Attic</x:v>
      </x:c>
      <x:c r="D63" t="str">
        <x:v>Cement</x:v>
      </x:c>
      <x:c r="E63" t="str">
        <x:v>direct</x:v>
      </x:c>
      <x:c r="F63" s="42" t="b">
        <x:v>0</x:v>
      </x:c>
      <x:c r="G63" t="n">
        <x:v>1</x:v>
      </x:c>
      <x:c r="H63" t="n">
        <x:v>1</x:v>
      </x:c>
      <x:c r="I63" t="str">
        <x:v>Cement</x:v>
      </x:c>
      <x:c r="J63" t="str">
        <x:v>direct</x:v>
      </x:c>
      <x:c r="K63" t="str">
        <x:v>600573dd-dfa5-44e5-b458-8727e793ffd7</x:v>
      </x:c>
      <x:c r="L63" t="str">
        <x:v>Portland cement (CEM I), CEMBUREAU production mix, at plant, CEMBUREAU technology mix, EN 197-1</x:v>
      </x:c>
      <x:c r="M63" s="42" t="b">
        <x:v>1</x:v>
      </x:c>
      <x:c r="N63" s="42" t="b">
        <x:v>1</x:v>
      </x:c>
      <x:c r="O63" t="str">
        <x:v>ok</x:v>
      </x:c>
      <x:c r="P63" t="n">
        <x:v>4.751639589999968</x:v>
      </x:c>
      <x:c r="Q63" t="n">
        <x:v>60</x:v>
      </x:c>
      <x:c r="R63" s="42" t="b">
        <x:v>0</x:v>
      </x:c>
      <x:c r="S63" s="42" t="b">
        <x:v>1</x:v>
      </x:c>
      <x:c r="T63" t="n">
        <x:v>1</x:v>
      </x:c>
      <x:c r="U63" t="n">
        <x:v>1</x:v>
      </x:c>
      <x:c r="V63" t="n">
        <x:v>1</x:v>
      </x:c>
      <x:c r="W63" s="42" t="b">
        <x:v>1</x:v>
      </x:c>
      <x:c r="X63" s="42" t="b">
        <x:v>1</x:v>
      </x:c>
      <x:c r="Y63"/>
      <x:c r="Z63" s="42" t="b">
        <x:v>1</x:v>
      </x:c>
      <x:c r="AA63" t="str">
        <x:v>600573dd-dfa5-44e5-b458-8727e793ffd7</x:v>
      </x:c>
      <x:c r="AB63" t="str">
        <x:v>Cement</x:v>
      </x:c>
    </x:row>
    <x:row r="64">
      <x:c r="A64" t="str">
        <x:v>qwen</x:v>
      </x:c>
      <x:c r="B64" t="str">
        <x:v>A02</x:v>
      </x:c>
      <x:c r="C64" t="str">
        <x:v>Bamboo House with Attic</x:v>
      </x:c>
      <x:c r="D64" t="str">
        <x:v>Sand</x:v>
      </x:c>
      <x:c r="E64" t="str">
        <x:v>direct</x:v>
      </x:c>
      <x:c r="F64" s="42" t="b">
        <x:v>0</x:v>
      </x:c>
      <x:c r="G64" t="n">
        <x:v>1</x:v>
      </x:c>
      <x:c r="H64" t="n">
        <x:v>1</x:v>
      </x:c>
      <x:c r="I64" t="str">
        <x:v>Sand</x:v>
      </x:c>
      <x:c r="J64" t="str">
        <x:v>direct</x:v>
      </x:c>
      <x:c r="K64" t="str">
        <x:v>898618b1-3306-11dd-bd11-0800200c9a66</x:v>
      </x:c>
      <x:c r="L64" t="str">
        <x:v>Sand 0/2, production mix, at plant, wet and dry quarry, undried</x:v>
      </x:c>
      <x:c r="M64" s="42" t="b">
        <x:v>1</x:v>
      </x:c>
      <x:c r="N64" s="42" t="b">
        <x:v>1</x:v>
      </x:c>
      <x:c r="O64" t="str">
        <x:v>ok</x:v>
      </x:c>
      <x:c r="P64" t="n">
        <x:v>4.370479019999948</x:v>
      </x:c>
      <x:c r="Q64" t="n">
        <x:v>63</x:v>
      </x:c>
      <x:c r="R64" s="42" t="b">
        <x:v>0</x:v>
      </x:c>
      <x:c r="S64" s="42" t="b">
        <x:v>1</x:v>
      </x:c>
      <x:c r="T64" t="n">
        <x:v>1</x:v>
      </x:c>
      <x:c r="U64" t="n">
        <x:v>1</x:v>
      </x:c>
      <x:c r="V64" t="n">
        <x:v>1</x:v>
      </x:c>
      <x:c r="W64" s="42" t="b">
        <x:v>1</x:v>
      </x:c>
      <x:c r="X64" s="42" t="b">
        <x:v>1</x:v>
      </x:c>
      <x:c r="Y64"/>
      <x:c r="Z64" s="42" t="b">
        <x:v>1</x:v>
      </x:c>
      <x:c r="AA64" t="str">
        <x:v>898618b1-3306-11dd-bd11-0800200c9a66</x:v>
      </x:c>
      <x:c r="AB64" t="str">
        <x:v>Sand</x:v>
      </x:c>
    </x:row>
    <x:row r="65">
      <x:c r="A65" t="str">
        <x:v>qwen</x:v>
      </x:c>
      <x:c r="B65" t="str">
        <x:v>A03</x:v>
      </x:c>
      <x:c r="C65" t="str">
        <x:v>Bamboo House with Attic</x:v>
      </x:c>
      <x:c r="D65" t="str">
        <x:v>Natural Gravel</x:v>
      </x:c>
      <x:c r="E65" t="str">
        <x:v>direct</x:v>
      </x:c>
      <x:c r="F65" s="42" t="b">
        <x:v>0</x:v>
      </x:c>
      <x:c r="G65" t="n">
        <x:v>1</x:v>
      </x:c>
      <x:c r="H65" t="n">
        <x:v>0</x:v>
      </x:c>
      <x:c r="I65" t="str">
        <x:v>Natural Gravel</x:v>
      </x:c>
      <x:c r="J65" t="str">
        <x:v>direct</x:v>
      </x:c>
      <x:c r="K65" t="str">
        <x:v>898618b2-3306-11dd-bd11-0800200c9a66</x:v>
      </x:c>
      <x:c r="L65" t="str">
        <x:v>Gravel 2/32, production mix, at plant, wet and dry quarry, undried</x:v>
      </x:c>
      <x:c r="M65" s="42" t="b">
        <x:v>1</x:v>
      </x:c>
      <x:c r="N65" s="42" t="b">
        <x:v>1</x:v>
      </x:c>
      <x:c r="O65" t="str">
        <x:v>ok</x:v>
      </x:c>
      <x:c r="P65" t="n">
        <x:v>4.345095556999922</x:v>
      </x:c>
      <x:c r="Q65" t="n">
        <x:v>65</x:v>
      </x:c>
      <x:c r="R65" s="42" t="b">
        <x:v>0</x:v>
      </x:c>
      <x:c r="S65" s="42" t="b">
        <x:v>0</x:v>
      </x:c>
      <x:c r="T65" t="n">
        <x:v>0.6</x:v>
      </x:c>
      <x:c r="U65" t="n">
        <x:v>1</x:v>
      </x:c>
      <x:c r="V65" t="n">
        <x:v>1</x:v>
      </x:c>
      <x:c r="W65" s="42" t="b">
        <x:v>1</x:v>
      </x:c>
      <x:c r="X65" s="42" t="b">
        <x:v>1</x:v>
      </x:c>
      <x:c r="Y65"/>
      <x:c r="Z65" s="42" t="b">
        <x:v>0</x:v>
      </x:c>
      <x:c r="AA65" t="str">
        <x:v>898618b2-3306-11dd-bd11-0800200c9a66</x:v>
      </x:c>
      <x:c r="AB65" t="str">
        <x:v>Gravel</x:v>
      </x:c>
    </x:row>
    <x:row r="66">
      <x:c r="A66" t="str">
        <x:v>qwen</x:v>
      </x:c>
      <x:c r="B66" t="str">
        <x:v>A04</x:v>
      </x:c>
      <x:c r="C66" t="str">
        <x:v>Bamboo House with Attic</x:v>
      </x:c>
      <x:c r="D66" t="str">
        <x:v>Soil Blocks</x:v>
      </x:c>
      <x:c r="E66" t="str">
        <x:v>review_required</x:v>
      </x:c>
      <x:c r="F66" s="42" t="b">
        <x:v>1</x:v>
      </x:c>
      <x:c r="G66"/>
      <x:c r="H66"/>
      <x:c r="I66" t="str">
        <x:v>Soil Blocks</x:v>
      </x:c>
      <x:c r="J66" t="str">
        <x:v>proxy</x:v>
      </x:c>
      <x:c r="K66" t="str">
        <x:v>898618b7-3306-11dd-bd11-0800200c9a66</x:v>
      </x:c>
      <x:c r="L66" t="str">
        <x:v>Calcium silicate, production mix, at plant, blocks and elements, density 1400 to 2000 kg/m3</x:v>
      </x:c>
      <x:c r="M66" s="42" t="b">
        <x:v>1</x:v>
      </x:c>
      <x:c r="N66" s="42" t="b">
        <x:v>1</x:v>
      </x:c>
      <x:c r="O66" t="str">
        <x:v>ok</x:v>
      </x:c>
      <x:c r="P66" t="n">
        <x:v>4.978512851000005</x:v>
      </x:c>
      <x:c r="Q66" t="n">
        <x:v>65</x:v>
      </x:c>
      <x:c r="R66" s="42" t="b">
        <x:v>0</x:v>
      </x:c>
      <x:c r="S66" s="42" t="b">
        <x:v>0</x:v>
      </x:c>
      <x:c r="T66" t="n">
        <x:v>0.9524</x:v>
      </x:c>
      <x:c r="U66"/>
      <x:c r="V66"/>
      <x:c r="W66" s="42" t="b">
        <x:v>0</x:v>
      </x:c>
      <x:c r="X66" s="42" t="b">
        <x:v>0</x:v>
      </x:c>
      <x:c r="Y66" t="n">
        <x:v>0</x:v>
      </x:c>
      <x:c r="Z66" s="42" t="b">
        <x:v>0</x:v>
      </x:c>
      <x:c r="AA66"/>
      <x:c r="AB66" t="str">
        <x:v>Soil block</x:v>
      </x:c>
    </x:row>
    <x:row r="67">
      <x:c r="A67" t="str">
        <x:v>qwen</x:v>
      </x:c>
      <x:c r="B67" t="str">
        <x:v>A05</x:v>
      </x:c>
      <x:c r="C67" t="str">
        <x:v>Bamboo House with Attic</x:v>
      </x:c>
      <x:c r="D67" t="str">
        <x:v>Wood</x:v>
      </x:c>
      <x:c r="E67" t="str">
        <x:v>proxy</x:v>
      </x:c>
      <x:c r="F67" s="42" t="b">
        <x:v>0</x:v>
      </x:c>
      <x:c r="G67" t="n">
        <x:v>1</x:v>
      </x:c>
      <x:c r="H67" t="n">
        <x:v>0</x:v>
      </x:c>
      <x:c r="I67" t="str">
        <x:v>Wood</x:v>
      </x:c>
      <x:c r="J67" t="str">
        <x:v>proxy</x:v>
      </x:c>
      <x:c r="K67" t="str">
        <x:v>621e64d0-f471-4023-9ebc-a52cd8ee573f</x:v>
      </x:c>
      <x:c r="L67" t="str">
        <x:v>Pine wood, production mix, at saw mill, timber, 40% water content</x:v>
      </x:c>
      <x:c r="M67" s="42" t="b">
        <x:v>1</x:v>
      </x:c>
      <x:c r="N67" s="42" t="b">
        <x:v>1</x:v>
      </x:c>
      <x:c r="O67" t="str">
        <x:v>ok</x:v>
      </x:c>
      <x:c r="P67" t="n">
        <x:v>7.906724022999924</x:v>
      </x:c>
      <x:c r="Q67" t="n">
        <x:v>127</x:v>
      </x:c>
      <x:c r="R67" s="42" t="b">
        <x:v>0</x:v>
      </x:c>
      <x:c r="S67" s="42" t="b">
        <x:v>1</x:v>
      </x:c>
      <x:c r="T67" t="n">
        <x:v>1</x:v>
      </x:c>
      <x:c r="U67" t="n">
        <x:v>0</x:v>
      </x:c>
      <x:c r="V67" t="n">
        <x:v>0</x:v>
      </x:c>
      <x:c r="W67" s="42" t="b">
        <x:v>1</x:v>
      </x:c>
      <x:c r="X67" s="42" t="b">
        <x:v>1</x:v>
      </x:c>
      <x:c r="Y67"/>
      <x:c r="Z67" s="42" t="b">
        <x:v>0</x:v>
      </x:c>
      <x:c r="AA67" t="str">
        <x:v>2b61a4d6-bd1d-4ea3-828c-fdbdf5fca1f9</x:v>
      </x:c>
      <x:c r="AB67" t="str">
        <x:v>Wood</x:v>
      </x:c>
    </x:row>
    <x:row r="68">
      <x:c r="A68" t="str">
        <x:v>qwen</x:v>
      </x:c>
      <x:c r="B68" t="str">
        <x:v>A06</x:v>
      </x:c>
      <x:c r="C68" t="str">
        <x:v>Bamboo House with Attic</x:v>
      </x:c>
      <x:c r="D68" t="str">
        <x:v>Bamboo</x:v>
      </x:c>
      <x:c r="E68" t="str">
        <x:v>review_required</x:v>
      </x:c>
      <x:c r="F68" s="42" t="b">
        <x:v>1</x:v>
      </x:c>
      <x:c r="G68"/>
      <x:c r="H68"/>
      <x:c r="I68" t="str">
        <x:v>Bamboo</x:v>
      </x:c>
      <x:c r="J68" t="str">
        <x:v>review_required</x:v>
      </x:c>
      <x:c r="K68"/>
      <x:c r="L68"/>
      <x:c r="M68" s="42" t="b">
        <x:v>1</x:v>
      </x:c>
      <x:c r="N68" s="42" t="b">
        <x:v>1</x:v>
      </x:c>
      <x:c r="O68" t="str">
        <x:v>ok</x:v>
      </x:c>
      <x:c r="P68" t="n">
        <x:v>2.95940583100014</x:v>
      </x:c>
      <x:c r="Q68" t="n">
        <x:v>31</x:v>
      </x:c>
      <x:c r="R68" s="42" t="b">
        <x:v>0</x:v>
      </x:c>
      <x:c r="S68" s="42" t="b">
        <x:v>1</x:v>
      </x:c>
      <x:c r="T68" t="n">
        <x:v>1</x:v>
      </x:c>
      <x:c r="U68"/>
      <x:c r="V68"/>
      <x:c r="W68" s="42" t="b">
        <x:v>1</x:v>
      </x:c>
      <x:c r="X68" s="42" t="b">
        <x:v>1</x:v>
      </x:c>
      <x:c r="Y68" t="n">
        <x:v>1</x:v>
      </x:c>
      <x:c r="Z68" s="42" t="b">
        <x:v>1</x:v>
      </x:c>
      <x:c r="AA68"/>
      <x:c r="AB68" t="str">
        <x:v>Bamboo</x:v>
      </x:c>
    </x:row>
    <x:row r="69">
      <x:c r="A69" t="str">
        <x:v>qwen</x:v>
      </x:c>
      <x:c r="B69" t="str">
        <x:v>A07</x:v>
      </x:c>
      <x:c r="C69" t="str">
        <x:v>Bamboo House with Attic</x:v>
      </x:c>
      <x:c r="D69" t="str">
        <x:v>Rebar</x:v>
      </x:c>
      <x:c r="E69" t="str">
        <x:v>direct</x:v>
      </x:c>
      <x:c r="F69" s="42" t="b">
        <x:v>0</x:v>
      </x:c>
      <x:c r="G69" t="n">
        <x:v>1</x:v>
      </x:c>
      <x:c r="H69" t="n">
        <x:v>1</x:v>
      </x:c>
      <x:c r="I69" t="str">
        <x:v>Rebar</x:v>
      </x:c>
      <x:c r="J69" t="str">
        <x:v>direct</x:v>
      </x:c>
      <x:c r="K69" t="str">
        <x:v>268a11fb-baf2-4b9e-8867-38bea0e76ef6</x:v>
      </x:c>
      <x:c r="L69" t="str">
        <x:v>Steel rebar, production mix, at plant, blast furnace and electric arc furnace route,</x:v>
      </x:c>
      <x:c r="M69" s="42" t="b">
        <x:v>1</x:v>
      </x:c>
      <x:c r="N69" s="42" t="b">
        <x:v>1</x:v>
      </x:c>
      <x:c r="O69" t="str">
        <x:v>ok</x:v>
      </x:c>
      <x:c r="P69" t="n">
        <x:v>4.220972039000117</x:v>
      </x:c>
      <x:c r="Q69" t="n">
        <x:v>61</x:v>
      </x:c>
      <x:c r="R69" s="42" t="b">
        <x:v>0</x:v>
      </x:c>
      <x:c r="S69" s="42" t="b">
        <x:v>1</x:v>
      </x:c>
      <x:c r="T69" t="n">
        <x:v>1</x:v>
      </x:c>
      <x:c r="U69" t="n">
        <x:v>1</x:v>
      </x:c>
      <x:c r="V69" t="n">
        <x:v>1</x:v>
      </x:c>
      <x:c r="W69" s="42" t="b">
        <x:v>1</x:v>
      </x:c>
      <x:c r="X69" s="42" t="b">
        <x:v>1</x:v>
      </x:c>
      <x:c r="Y69"/>
      <x:c r="Z69" s="42" t="b">
        <x:v>1</x:v>
      </x:c>
      <x:c r="AA69" t="str">
        <x:v>268a11fb-baf2-4b9e-8867-38bea0e76ef6</x:v>
      </x:c>
      <x:c r="AB69" t="str">
        <x:v>Rebar</x:v>
      </x:c>
    </x:row>
    <x:row r="70">
      <x:c r="A70" t="str">
        <x:v>qwen</x:v>
      </x:c>
      <x:c r="B70" t="str">
        <x:v>A08</x:v>
      </x:c>
      <x:c r="C70" t="str">
        <x:v>Bamboo House with Attic</x:v>
      </x:c>
      <x:c r="D70" t="str">
        <x:v>Soil</x:v>
      </x:c>
      <x:c r="E70" t="str">
        <x:v>review_required</x:v>
      </x:c>
      <x:c r="F70" s="42" t="b">
        <x:v>1</x:v>
      </x:c>
      <x:c r="G70"/>
      <x:c r="H70"/>
      <x:c r="I70" t="str">
        <x:v>Soil</x:v>
      </x:c>
      <x:c r="J70" t="str">
        <x:v>review_required</x:v>
      </x:c>
      <x:c r="K70"/>
      <x:c r="L70"/>
      <x:c r="M70" s="42" t="b">
        <x:v>1</x:v>
      </x:c>
      <x:c r="N70" s="42" t="b">
        <x:v>1</x:v>
      </x:c>
      <x:c r="O70" t="str">
        <x:v>ok</x:v>
      </x:c>
      <x:c r="P70" t="n">
        <x:v>2.420821728999954</x:v>
      </x:c>
      <x:c r="Q70" t="n">
        <x:v>30</x:v>
      </x:c>
      <x:c r="R70" s="42" t="b">
        <x:v>0</x:v>
      </x:c>
      <x:c r="S70" s="42" t="b">
        <x:v>1</x:v>
      </x:c>
      <x:c r="T70" t="n">
        <x:v>1</x:v>
      </x:c>
      <x:c r="U70"/>
      <x:c r="V70"/>
      <x:c r="W70" s="42" t="b">
        <x:v>1</x:v>
      </x:c>
      <x:c r="X70" s="42" t="b">
        <x:v>1</x:v>
      </x:c>
      <x:c r="Y70" t="n">
        <x:v>1</x:v>
      </x:c>
      <x:c r="Z70" s="42" t="b">
        <x:v>1</x:v>
      </x:c>
      <x:c r="AA70"/>
      <x:c r="AB70" t="str">
        <x:v>Soil</x:v>
      </x:c>
    </x:row>
    <x:row r="71">
      <x:c r="A71" t="str">
        <x:v>qwen</x:v>
      </x:c>
      <x:c r="B71" t="str">
        <x:v>A09</x:v>
      </x:c>
      <x:c r="C71" t="str">
        <x:v>Bamboo House with Attic</x:v>
      </x:c>
      <x:c r="D71" t="str">
        <x:v>CGI Sheets</x:v>
      </x:c>
      <x:c r="E71" t="str">
        <x:v>proxy</x:v>
      </x:c>
      <x:c r="F71" s="42" t="b">
        <x:v>0</x:v>
      </x:c>
      <x:c r="G71" t="n">
        <x:v>0</x:v>
      </x:c>
      <x:c r="H71" t="n">
        <x:v>0</x:v>
      </x:c>
      <x:c r="I71" t="str">
        <x:v>CGI Sheets</x:v>
      </x:c>
      <x:c r="J71" t="str">
        <x:v>proxy</x:v>
      </x:c>
      <x:c r="K71" t="str">
        <x:v>7311da1a-673f-96b5-66ef-00004409928e</x:v>
      </x:c>
      <x:c r="L71" t="str">
        <x:v>corrugated board sheets, production mix, at plant, technology mix, 18% primary fibre, 82 % recycled fibre</x:v>
      </x:c>
      <x:c r="M71" s="42" t="b">
        <x:v>1</x:v>
      </x:c>
      <x:c r="N71" s="42" t="b">
        <x:v>1</x:v>
      </x:c>
      <x:c r="O71" t="str">
        <x:v>ok</x:v>
      </x:c>
      <x:c r="P71" t="n">
        <x:v>4.631753277000143</x:v>
      </x:c>
      <x:c r="Q71" t="n">
        <x:v>65</x:v>
      </x:c>
      <x:c r="R71" s="42" t="b">
        <x:v>0</x:v>
      </x:c>
      <x:c r="S71" s="42" t="b">
        <x:v>0</x:v>
      </x:c>
      <x:c r="T71" t="n">
        <x:v>0.4186</x:v>
      </x:c>
      <x:c r="U71" t="n">
        <x:v>0</x:v>
      </x:c>
      <x:c r="V71"/>
      <x:c r="W71" s="42" t="b">
        <x:v>1</x:v>
      </x:c>
      <x:c r="X71" s="42" t="b">
        <x:v>1</x:v>
      </x:c>
      <x:c r="Y71"/>
      <x:c r="Z71" s="42" t="b">
        <x:v>0</x:v>
      </x:c>
      <x:c r="AA71" t="str">
        <x:v>339b2536-c881-409d-ac71-49ab0d228fe3</x:v>
      </x:c>
      <x:c r="AB71" t="str">
        <x:v>Corrugated galvanized steel sheet</x:v>
      </x:c>
    </x:row>
    <x:row r="72">
      <x:c r="A72" t="str">
        <x:v>deepseek</x:v>
      </x:c>
      <x:c r="B72" t="str">
        <x:v>S01</x:v>
      </x:c>
      <x:c r="C72" t="str">
        <x:v>Stonecrete House</x:v>
      </x:c>
      <x:c r="D72" t="str">
        <x:v>Ordinary Portland Cement (OPC 43-grade)</x:v>
      </x:c>
      <x:c r="E72" t="str">
        <x:v>direct</x:v>
      </x:c>
      <x:c r="F72" s="42" t="b">
        <x:v>0</x:v>
      </x:c>
      <x:c r="G72" t="n">
        <x:v>1</x:v>
      </x:c>
      <x:c r="H72" t="n">
        <x:v>1</x:v>
      </x:c>
      <x:c r="I72" t="str">
        <x:v>Ordinary Portland Cement (OPC 43-grade)</x:v>
      </x:c>
      <x:c r="J72" t="str">
        <x:v>direct</x:v>
      </x:c>
      <x:c r="K72" t="str">
        <x:v>89863fcf-3306-11dd-bd11-0800200c9a66</x:v>
      </x:c>
      <x:c r="L72" t="str">
        <x:v>Landfill of biodegradable waste, at landfill site, landfill including landfill gas utilisation and leachate treatment and without collection, transport and   pre-treatment</x:v>
      </x:c>
      <x:c r="M72" s="42" t="b">
        <x:v>1</x:v>
      </x:c>
      <x:c r="N72" s="42" t="b">
        <x:v>1</x:v>
      </x:c>
      <x:c r="O72" t="str">
        <x:v>ok</x:v>
      </x:c>
      <x:c r="P72" t="n">
        <x:v>8.57371975199976</x:v>
      </x:c>
      <x:c r="Q72" t="n">
        <x:v>152</x:v>
      </x:c>
      <x:c r="R72" s="42" t="b">
        <x:v>0</x:v>
      </x:c>
      <x:c r="S72" s="42" t="b">
        <x:v>0</x:v>
      </x:c>
      <x:c r="T72" t="n">
        <x:v>0.2791</x:v>
      </x:c>
      <x:c r="U72" t="n">
        <x:v>0</x:v>
      </x:c>
      <x:c r="V72" t="n">
        <x:v>0</x:v>
      </x:c>
      <x:c r="W72" s="42" t="b">
        <x:v>1</x:v>
      </x:c>
      <x:c r="X72" s="42" t="b">
        <x:v>1</x:v>
      </x:c>
      <x:c r="Y72"/>
      <x:c r="Z72" s="42" t="b">
        <x:v>0</x:v>
      </x:c>
      <x:c r="AA72" t="str">
        <x:v>600573dd-dfa5-44e5-b458-8727e793ffd7</x:v>
      </x:c>
      <x:c r="AB72" t="str">
        <x:v>Cement</x:v>
      </x:c>
    </x:row>
    <x:row r="73">
      <x:c r="A73" t="str">
        <x:v>deepseek</x:v>
      </x:c>
      <x:c r="B73" t="str">
        <x:v>S02</x:v>
      </x:c>
      <x:c r="C73" t="str">
        <x:v>Stonecrete House</x:v>
      </x:c>
      <x:c r="D73" t="str">
        <x:v>River Sand (clean, well-graded)</x:v>
      </x:c>
      <x:c r="E73" t="str">
        <x:v>direct</x:v>
      </x:c>
      <x:c r="F73" s="42" t="b">
        <x:v>0</x:v>
      </x:c>
      <x:c r="G73" t="n">
        <x:v>1</x:v>
      </x:c>
      <x:c r="H73" t="n">
        <x:v>1</x:v>
      </x:c>
      <x:c r="I73" t="str">
        <x:v>River Sand (clean, well-graded)</x:v>
      </x:c>
      <x:c r="J73" t="str">
        <x:v>direct</x:v>
      </x:c>
      <x:c r="K73" t="str">
        <x:v>fd9db252-4998-11dd-ae16-0800200c9a66</x:v>
      </x:c>
      <x:c r="L73" t="str">
        <x:v>Special high grade zinc, production mix, at plant, primary production</x:v>
      </x:c>
      <x:c r="M73" s="42" t="b">
        <x:v>1</x:v>
      </x:c>
      <x:c r="N73" s="42" t="b">
        <x:v>1</x:v>
      </x:c>
      <x:c r="O73" t="str">
        <x:v>ok</x:v>
      </x:c>
      <x:c r="P73" t="n">
        <x:v>8.007191883999894</x:v>
      </x:c>
      <x:c r="Q73" t="n">
        <x:v>144</x:v>
      </x:c>
      <x:c r="R73" s="42" t="b">
        <x:v>0</x:v>
      </x:c>
      <x:c r="S73" s="42" t="b">
        <x:v>0</x:v>
      </x:c>
      <x:c r="T73" t="n">
        <x:v>0.25</x:v>
      </x:c>
      <x:c r="U73" t="n">
        <x:v>0</x:v>
      </x:c>
      <x:c r="V73" t="n">
        <x:v>0</x:v>
      </x:c>
      <x:c r="W73" s="42" t="b">
        <x:v>1</x:v>
      </x:c>
      <x:c r="X73" s="42" t="b">
        <x:v>1</x:v>
      </x:c>
      <x:c r="Y73"/>
      <x:c r="Z73" s="42" t="b">
        <x:v>0</x:v>
      </x:c>
      <x:c r="AA73" t="str">
        <x:v>898618b1-3306-11dd-bd11-0800200c9a66</x:v>
      </x:c>
      <x:c r="AB73" t="str">
        <x:v>Sand</x:v>
      </x:c>
    </x:row>
    <x:row r="74">
      <x:c r="A74" t="str">
        <x:v>deepseek</x:v>
      </x:c>
      <x:c r="B74" t="str">
        <x:v>S03</x:v>
      </x:c>
      <x:c r="C74" t="str">
        <x:v>Stonecrete House</x:v>
      </x:c>
      <x:c r="D74" t="str">
        <x:v>Natural Gravel</x:v>
      </x:c>
      <x:c r="E74" t="str">
        <x:v>direct</x:v>
      </x:c>
      <x:c r="F74" s="42" t="b">
        <x:v>0</x:v>
      </x:c>
      <x:c r="G74" t="n">
        <x:v>1</x:v>
      </x:c>
      <x:c r="H74" t="n">
        <x:v>0</x:v>
      </x:c>
      <x:c r="I74" t="str">
        <x:v>Natural Gravel</x:v>
      </x:c>
      <x:c r="J74" t="str">
        <x:v>direct</x:v>
      </x:c>
      <x:c r="K74" t="str">
        <x:v>0deb15f0-518a-11dd-ae16-0800200c9a66</x:v>
      </x:c>
      <x:c r="L74" t="str">
        <x:v>Process steam from natural gas, consumption mix, at plant, heat plant, MJ</x:v>
      </x:c>
      <x:c r="M74" s="42" t="b">
        <x:v>1</x:v>
      </x:c>
      <x:c r="N74" s="42" t="b">
        <x:v>1</x:v>
      </x:c>
      <x:c r="O74" t="str">
        <x:v>ok</x:v>
      </x:c>
      <x:c r="P74" t="n">
        <x:v>7.236513956000181</x:v>
      </x:c>
      <x:c r="Q74" t="n">
        <x:v>142</x:v>
      </x:c>
      <x:c r="R74" s="42" t="b">
        <x:v>0</x:v>
      </x:c>
      <x:c r="S74" s="42" t="b">
        <x:v>0</x:v>
      </x:c>
      <x:c r="T74" t="n">
        <x:v>0.6</x:v>
      </x:c>
      <x:c r="U74" t="n">
        <x:v>0</x:v>
      </x:c>
      <x:c r="V74" t="n">
        <x:v>0</x:v>
      </x:c>
      <x:c r="W74" s="42" t="b">
        <x:v>1</x:v>
      </x:c>
      <x:c r="X74" s="42" t="b">
        <x:v>1</x:v>
      </x:c>
      <x:c r="Y74"/>
      <x:c r="Z74" s="42" t="b">
        <x:v>0</x:v>
      </x:c>
      <x:c r="AA74" t="str">
        <x:v>898618b2-3306-11dd-bd11-0800200c9a66</x:v>
      </x:c>
      <x:c r="AB74" t="str">
        <x:v>Gravel</x:v>
      </x:c>
    </x:row>
    <x:row r="75">
      <x:c r="A75" t="str">
        <x:v>deepseek</x:v>
      </x:c>
      <x:c r="B75" t="str">
        <x:v>S04</x:v>
      </x:c>
      <x:c r="C75" t="str">
        <x:v>Stonecrete House</x:v>
      </x:c>
      <x:c r="D75" t="str">
        <x:v>Stone</x:v>
      </x:c>
      <x:c r="E75" t="str">
        <x:v>proxy</x:v>
      </x:c>
      <x:c r="F75" s="42" t="b">
        <x:v>0</x:v>
      </x:c>
      <x:c r="G75" t="n">
        <x:v>1</x:v>
      </x:c>
      <x:c r="H75" t="n">
        <x:v>0</x:v>
      </x:c>
      <x:c r="I75" t="str">
        <x:v>Stone</x:v>
      </x:c>
      <x:c r="J75" t="str">
        <x:v>direct</x:v>
      </x:c>
      <x:c r="K75" t="str">
        <x:v>a2eaa86a-57cd-4f78-9e5a-9bc44458f6b0</x:v>
      </x:c>
      <x:c r="L75" t="str">
        <x:v>Bentonite powder, sodium activated, Production at plant, 1000 kg of bentonite  sodium activated powder with particle sizes below 74 µm and a moisture content ranging between 8 and 12%, stored in silo, ready to be shipped in bulk., None</x:v>
      </x:c>
      <x:c r="M75" s="42" t="b">
        <x:v>1</x:v>
      </x:c>
      <x:c r="N75" s="42" t="b">
        <x:v>1</x:v>
      </x:c>
      <x:c r="O75" t="str">
        <x:v>ok</x:v>
      </x:c>
      <x:c r="P75" t="n">
        <x:v>7.173639585000274</x:v>
      </x:c>
      <x:c r="Q75" t="n">
        <x:v>136</x:v>
      </x:c>
      <x:c r="R75" s="42" t="b">
        <x:v>0</x:v>
      </x:c>
      <x:c r="S75" s="42" t="b">
        <x:v>1</x:v>
      </x:c>
      <x:c r="T75" t="n">
        <x:v>1</x:v>
      </x:c>
      <x:c r="U75" t="n">
        <x:v>0</x:v>
      </x:c>
      <x:c r="V75" t="n">
        <x:v>0</x:v>
      </x:c>
      <x:c r="W75" s="42" t="b">
        <x:v>0</x:v>
      </x:c>
      <x:c r="X75" s="42" t="b">
        <x:v>1</x:v>
      </x:c>
      <x:c r="Y75"/>
      <x:c r="Z75" s="42" t="b">
        <x:v>0</x:v>
      </x:c>
      <x:c r="AA75" t="str">
        <x:v>898618b3-3306-11dd-bd11-0800200c9a66</x:v>
      </x:c>
      <x:c r="AB75" t="str">
        <x:v>Stone</x:v>
      </x:c>
    </x:row>
    <x:row r="76">
      <x:c r="A76" t="str">
        <x:v>deepseek</x:v>
      </x:c>
      <x:c r="B76" t="str">
        <x:v>S05</x:v>
      </x:c>
      <x:c r="C76" t="str">
        <x:v>Stonecrete House</x:v>
      </x:c>
      <x:c r="D76" t="str">
        <x:v>Plain Cement Concrete (PCC M10 — 1:3:6) - Binding Layer</x:v>
      </x:c>
      <x:c r="E76" t="str">
        <x:v>proxy</x:v>
      </x:c>
      <x:c r="F76" s="42" t="b">
        <x:v>0</x:v>
      </x:c>
      <x:c r="G76" t="n">
        <x:v>1</x:v>
      </x:c>
      <x:c r="H76" t="n">
        <x:v>1</x:v>
      </x:c>
      <x:c r="I76" t="str">
        <x:v>Plain Cement Concrete (PCC)</x:v>
      </x:c>
      <x:c r="J76" t="str">
        <x:v>direct</x:v>
      </x:c>
      <x:c r="K76" t="str">
        <x:v>a8b2c610-429d-11dd-ae16-0800200c9a66</x:v>
      </x:c>
      <x:c r="L76" t="str">
        <x:v>Aerated concrete block, production mix, at plant, type P4 05 reinforced, average density 485 kg/m3</x:v>
      </x:c>
      <x:c r="M76" s="42" t="b">
        <x:v>1</x:v>
      </x:c>
      <x:c r="N76" s="42" t="b">
        <x:v>1</x:v>
      </x:c>
      <x:c r="O76" t="str">
        <x:v>ok</x:v>
      </x:c>
      <x:c r="P76" t="n">
        <x:v>8.007375445999969</x:v>
      </x:c>
      <x:c r="Q76" t="n">
        <x:v>146</x:v>
      </x:c>
      <x:c r="R76" s="42" t="b">
        <x:v>0</x:v>
      </x:c>
      <x:c r="S76" s="42" t="b">
        <x:v>0</x:v>
      </x:c>
      <x:c r="T76" t="n">
        <x:v>0.4848</x:v>
      </x:c>
      <x:c r="U76" t="n">
        <x:v>0</x:v>
      </x:c>
      <x:c r="V76" t="n">
        <x:v>0</x:v>
      </x:c>
      <x:c r="W76" s="42" t="b">
        <x:v>0</x:v>
      </x:c>
      <x:c r="X76" s="42" t="b">
        <x:v>1</x:v>
      </x:c>
      <x:c r="Y76"/>
      <x:c r="Z76" s="42" t="b">
        <x:v>0</x:v>
      </x:c>
      <x:c r="AA76" t="str">
        <x:v>898618b0-3306-11dd-bd11-0800200c9a66</x:v>
      </x:c>
      <x:c r="AB76" t="str">
        <x:v>Concrete</x:v>
      </x:c>
    </x:row>
    <x:row r="77">
      <x:c r="A77" t="str">
        <x:v>deepseek</x:v>
      </x:c>
      <x:c r="B77" t="str">
        <x:v>S06</x:v>
      </x:c>
      <x:c r="C77" t="str">
        <x:v>Stonecrete House</x:v>
      </x:c>
      <x:c r="D77" t="str">
        <x:v>Stonecrete block</x:v>
      </x:c>
      <x:c r="E77" t="str">
        <x:v>proxy</x:v>
      </x:c>
      <x:c r="F77" s="42" t="b">
        <x:v>0</x:v>
      </x:c>
      <x:c r="G77" t="n">
        <x:v>1</x:v>
      </x:c>
      <x:c r="H77" t="n">
        <x:v>0</x:v>
      </x:c>
      <x:c r="I77" t="str">
        <x:v>Aerated concrete block</x:v>
      </x:c>
      <x:c r="J77" t="str">
        <x:v>direct</x:v>
      </x:c>
      <x:c r="K77" t="str">
        <x:v>a8b2c610-429d-11dd-ae16-0800200c9a66</x:v>
      </x:c>
      <x:c r="L77" t="str">
        <x:v>Aerated concrete block, production mix, at plant, type P4 05 reinforced, average density 485 kg/m3</x:v>
      </x:c>
      <x:c r="M77" s="42" t="b">
        <x:v>1</x:v>
      </x:c>
      <x:c r="N77" s="42" t="b">
        <x:v>1</x:v>
      </x:c>
      <x:c r="O77" t="str">
        <x:v>ok</x:v>
      </x:c>
      <x:c r="P77" t="n">
        <x:v>7.140665548000015</x:v>
      </x:c>
      <x:c r="Q77" t="n">
        <x:v>145</x:v>
      </x:c>
      <x:c r="R77" s="42" t="b">
        <x:v>0</x:v>
      </x:c>
      <x:c r="S77" s="42" t="b">
        <x:v>0</x:v>
      </x:c>
      <x:c r="T77" t="n">
        <x:v>0.7368</x:v>
      </x:c>
      <x:c r="U77" t="n">
        <x:v>0</x:v>
      </x:c>
      <x:c r="V77" t="n">
        <x:v>0</x:v>
      </x:c>
      <x:c r="W77" s="42" t="b">
        <x:v>0</x:v>
      </x:c>
      <x:c r="X77" s="42" t="b">
        <x:v>1</x:v>
      </x:c>
      <x:c r="Y77"/>
      <x:c r="Z77" s="42" t="b">
        <x:v>0</x:v>
      </x:c>
      <x:c r="AA77" t="str">
        <x:v>898618b6-3306-11dd-bd11-0800200c9a66</x:v>
      </x:c>
      <x:c r="AB77" t="str">
        <x:v>Stonecrete Block</x:v>
      </x:c>
    </x:row>
    <x:row r="78">
      <x:c r="A78" t="str">
        <x:v>deepseek</x:v>
      </x:c>
      <x:c r="B78" t="str">
        <x:v>S07</x:v>
      </x:c>
      <x:c r="C78" t="str">
        <x:v>Stonecrete House</x:v>
      </x:c>
      <x:c r="D78" t="str">
        <x:v>Rebar TMT Fe500</x:v>
      </x:c>
      <x:c r="E78" t="str">
        <x:v>direct</x:v>
      </x:c>
      <x:c r="F78" s="42" t="b">
        <x:v>0</x:v>
      </x:c>
      <x:c r="G78" t="n">
        <x:v>1</x:v>
      </x:c>
      <x:c r="H78" t="n">
        <x:v>1</x:v>
      </x:c>
      <x:c r="I78" t="str">
        <x:v>Rebar TMT Fe500</x:v>
      </x:c>
      <x:c r="J78" t="str">
        <x:v>direct</x:v>
      </x:c>
      <x:c r="K78" t="str">
        <x:v>2dbe076f-4a31-4348-a36a-bedf27f56715</x:v>
      </x:c>
      <x:c r="L78" t="str">
        <x:v>Excavator, technology mix, 500 kW, Mining</x:v>
      </x:c>
      <x:c r="M78" s="42" t="b">
        <x:v>1</x:v>
      </x:c>
      <x:c r="N78" s="42" t="b">
        <x:v>1</x:v>
      </x:c>
      <x:c r="O78" t="str">
        <x:v>ok</x:v>
      </x:c>
      <x:c r="P78" t="n">
        <x:v>6.258501663000061</x:v>
      </x:c>
      <x:c r="Q78" t="n">
        <x:v>109</x:v>
      </x:c>
      <x:c r="R78" s="42" t="b">
        <x:v>0</x:v>
      </x:c>
      <x:c r="S78" s="42" t="b">
        <x:v>0</x:v>
      </x:c>
      <x:c r="T78" t="n">
        <x:v>0.5</x:v>
      </x:c>
      <x:c r="U78" t="n">
        <x:v>0</x:v>
      </x:c>
      <x:c r="V78" t="n">
        <x:v>0</x:v>
      </x:c>
      <x:c r="W78" s="42" t="b">
        <x:v>1</x:v>
      </x:c>
      <x:c r="X78" s="42" t="b">
        <x:v>1</x:v>
      </x:c>
      <x:c r="Y78"/>
      <x:c r="Z78" s="42" t="b">
        <x:v>0</x:v>
      </x:c>
      <x:c r="AA78" t="str">
        <x:v>268a11fb-baf2-4b9e-8867-38bea0e76ef6</x:v>
      </x:c>
      <x:c r="AB78" t="str">
        <x:v>Rebar</x:v>
      </x:c>
    </x:row>
    <x:row r="79">
      <x:c r="A79" t="str">
        <x:v>deepseek</x:v>
      </x:c>
      <x:c r="B79" t="str">
        <x:v>S08</x:v>
      </x:c>
      <x:c r="C79" t="str">
        <x:v>Stonecrete House</x:v>
      </x:c>
      <x:c r="D79" t="str">
        <x:v>Binding Wire (soft annealed, 18-gauge)</x:v>
      </x:c>
      <x:c r="E79" t="str">
        <x:v>proxy</x:v>
      </x:c>
      <x:c r="F79" s="42" t="b">
        <x:v>0</x:v>
      </x:c>
      <x:c r="G79" t="n">
        <x:v>0</x:v>
      </x:c>
      <x:c r="H79" t="n">
        <x:v>0</x:v>
      </x:c>
      <x:c r="I79" t="str">
        <x:v>Steel binding wire</x:v>
      </x:c>
      <x:c r="J79" t="str">
        <x:v>direct</x:v>
      </x:c>
      <x:c r="K79" t="str">
        <x:v>b0b413a1-2a7d-4cb5-a108-bfd7b37502e4</x:v>
      </x:c>
      <x:c r="L79" t="str">
        <x:v>Steel hot rolled coil, including recycling, production mix, at plant, blast furnace route, 1kg, typical thickness between 2 - 7 mm. typical width between 600 - 2100 mm</x:v>
      </x:c>
      <x:c r="M79" s="42" t="b">
        <x:v>1</x:v>
      </x:c>
      <x:c r="N79" s="42" t="b">
        <x:v>1</x:v>
      </x:c>
      <x:c r="O79" t="str">
        <x:v>ok</x:v>
      </x:c>
      <x:c r="P79" t="n">
        <x:v>7.006422246000056</x:v>
      </x:c>
      <x:c r="Q79" t="n">
        <x:v>140</x:v>
      </x:c>
      <x:c r="R79" s="42" t="b">
        <x:v>0</x:v>
      </x:c>
      <x:c r="S79" s="42" t="b">
        <x:v>1</x:v>
      </x:c>
      <x:c r="T79" t="n">
        <x:v>1</x:v>
      </x:c>
      <x:c r="U79" t="n">
        <x:v>0</x:v>
      </x:c>
      <x:c r="V79"/>
      <x:c r="W79" s="42" t="b">
        <x:v>0</x:v>
      </x:c>
      <x:c r="X79" s="42" t="b">
        <x:v>1</x:v>
      </x:c>
      <x:c r="Y79"/>
      <x:c r="Z79" s="42" t="b">
        <x:v>0</x:v>
      </x:c>
      <x:c r="AA79" t="str">
        <x:v>09d61948-238a-40e7-8e1f-afdc0c98f902</x:v>
      </x:c>
      <x:c r="AB79" t="str">
        <x:v>Steel binding wire</x:v>
      </x:c>
    </x:row>
    <x:row r="80">
      <x:c r="A80" t="str">
        <x:v>deepseek</x:v>
      </x:c>
      <x:c r="B80" t="str">
        <x:v>S09</x:v>
      </x:c>
      <x:c r="C80" t="str">
        <x:v>Stonecrete House</x:v>
      </x:c>
      <x:c r="D80" t="str">
        <x:v>Corrugated Galvanized Iron (CGI) Sheet, 0.45 mm BMT</x:v>
      </x:c>
      <x:c r="E80" t="str">
        <x:v>proxy</x:v>
      </x:c>
      <x:c r="F80" s="42" t="b">
        <x:v>0</x:v>
      </x:c>
      <x:c r="G80" t="n">
        <x:v>1</x:v>
      </x:c>
      <x:c r="H80" t="n">
        <x:v>0</x:v>
      </x:c>
      <x:c r="I80" t="str">
        <x:v>Corrugated Galvanized Iron (CGI) Sheet, 0.45 mm BMT</x:v>
      </x:c>
      <x:c r="J80" t="str">
        <x:v>direct</x:v>
      </x:c>
      <x:c r="K80" t="str">
        <x:v>339b2536-c881-409d-ac71-49ab0d228fe3</x:v>
      </x:c>
      <x:c r="L80" t="str">
        <x:v>Steel hot dip galvanized (ILCD), production mix, at plant, blast furnace route, 1kg, typical thickness between 0.3 - 3 mm. typical width between 600 - 2100 mm.</x:v>
      </x:c>
      <x:c r="M80" s="42" t="b">
        <x:v>1</x:v>
      </x:c>
      <x:c r="N80" s="42" t="b">
        <x:v>1</x:v>
      </x:c>
      <x:c r="O80" t="str">
        <x:v>ok</x:v>
      </x:c>
      <x:c r="P80" t="n">
        <x:v>8.795626857000116</x:v>
      </x:c>
      <x:c r="Q80" t="n">
        <x:v>161</x:v>
      </x:c>
      <x:c r="R80" s="42" t="b">
        <x:v>0</x:v>
      </x:c>
      <x:c r="S80" s="42" t="b">
        <x:v>0</x:v>
      </x:c>
      <x:c r="T80" t="n">
        <x:v>0.6914</x:v>
      </x:c>
      <x:c r="U80" t="n">
        <x:v>1</x:v>
      </x:c>
      <x:c r="V80" t="n">
        <x:v>1</x:v>
      </x:c>
      <x:c r="W80" s="42" t="b">
        <x:v>0</x:v>
      </x:c>
      <x:c r="X80" s="42" t="b">
        <x:v>1</x:v>
      </x:c>
      <x:c r="Y80"/>
      <x:c r="Z80" s="42" t="b">
        <x:v>0</x:v>
      </x:c>
      <x:c r="AA80" t="str">
        <x:v>339b2536-c881-409d-ac71-49ab0d228fe3</x:v>
      </x:c>
      <x:c r="AB80" t="str">
        <x:v>Corrugated galvanized steel sheet</x:v>
      </x:c>
    </x:row>
    <x:row r="81">
      <x:c r="A81" t="str">
        <x:v>deepseek</x:v>
      </x:c>
      <x:c r="B81" t="str">
        <x:v>S10</x:v>
      </x:c>
      <x:c r="C81" t="str">
        <x:v>Stonecrete House</x:v>
      </x:c>
      <x:c r="D81" t="str">
        <x:v>Timber for purlin, rafter, and column post</x:v>
      </x:c>
      <x:c r="E81" t="str">
        <x:v>proxy</x:v>
      </x:c>
      <x:c r="F81" s="42" t="b">
        <x:v>0</x:v>
      </x:c>
      <x:c r="G81" t="n">
        <x:v>1</x:v>
      </x:c>
      <x:c r="H81" t="n">
        <x:v>0</x:v>
      </x:c>
      <x:c r="I81" t="str">
        <x:v>Timber for purlin, rafter, and column post</x:v>
      </x:c>
      <x:c r="J81" t="str">
        <x:v>direct</x:v>
      </x:c>
      <x:c r="K81" t="str">
        <x:v>2b61a4d6-bd1d-4ea3-828c-fdbdf5fca1f9</x:v>
      </x:c>
      <x:c r="L81" t="str">
        <x:v>Spruce wood, production mix, at saw mill, timber, 40% water content</x:v>
      </x:c>
      <x:c r="M81" s="42" t="b">
        <x:v>1</x:v>
      </x:c>
      <x:c r="N81" s="42" t="b">
        <x:v>1</x:v>
      </x:c>
      <x:c r="O81" t="str">
        <x:v>ok</x:v>
      </x:c>
      <x:c r="P81" t="n">
        <x:v>6.557652098999824</x:v>
      </x:c>
      <x:c r="Q81" t="n">
        <x:v>113</x:v>
      </x:c>
      <x:c r="R81" s="42" t="b">
        <x:v>0</x:v>
      </x:c>
      <x:c r="S81" s="42" t="b">
        <x:v>0</x:v>
      </x:c>
      <x:c r="T81" t="n">
        <x:v>0.2609</x:v>
      </x:c>
      <x:c r="U81" t="n">
        <x:v>1</x:v>
      </x:c>
      <x:c r="V81" t="n">
        <x:v>1</x:v>
      </x:c>
      <x:c r="W81" s="42" t="b">
        <x:v>0</x:v>
      </x:c>
      <x:c r="X81" s="42" t="b">
        <x:v>1</x:v>
      </x:c>
      <x:c r="Y81"/>
      <x:c r="Z81" s="42" t="b">
        <x:v>0</x:v>
      </x:c>
      <x:c r="AA81" t="str">
        <x:v>2b61a4d6-bd1d-4ea3-828c-fdbdf5fca1f9</x:v>
      </x:c>
      <x:c r="AB81" t="str">
        <x:v>Timber</x:v>
      </x:c>
    </x:row>
    <x:row r="82">
      <x:c r="A82" t="str">
        <x:v>deepseek</x:v>
      </x:c>
      <x:c r="B82" t="str">
        <x:v>S11</x:v>
      </x:c>
      <x:c r="C82" t="str">
        <x:v>Stonecrete House</x:v>
      </x:c>
      <x:c r="D82" t="str">
        <x:v>Plaster 1:4 — External Walls, 15 mm thick</x:v>
      </x:c>
      <x:c r="E82" t="str">
        <x:v>review_required</x:v>
      </x:c>
      <x:c r="F82" s="42" t="b">
        <x:v>1</x:v>
      </x:c>
      <x:c r="G82"/>
      <x:c r="H82"/>
      <x:c r="I82" t="str">
        <x:v>Plaster 1:4</x:v>
      </x:c>
      <x:c r="J82" t="str">
        <x:v>direct</x:v>
      </x:c>
      <x:c r="K82" t="str">
        <x:v>da78eea3-ead1-4379-80af-14a991a2a746</x:v>
      </x:c>
      <x:c r="L82" t="str">
        <x:v>Porocalce plaster production, Production mix at plant - Southern Italy, Porocalce plaster - Milling and mixing of sand, perlite, expanded glass, calcium hydroxide, 1 kg, Plaster</x:v>
      </x:c>
      <x:c r="M82" s="42" t="b">
        <x:v>1</x:v>
      </x:c>
      <x:c r="N82" s="42" t="b">
        <x:v>1</x:v>
      </x:c>
      <x:c r="O82" t="str">
        <x:v>ok</x:v>
      </x:c>
      <x:c r="P82" t="n">
        <x:v>7.23221348900006</x:v>
      </x:c>
      <x:c r="Q82" t="n">
        <x:v>140</x:v>
      </x:c>
      <x:c r="R82" s="42" t="b">
        <x:v>0</x:v>
      </x:c>
      <x:c r="S82" s="42" t="b">
        <x:v>0</x:v>
      </x:c>
      <x:c r="T82" t="n">
        <x:v>0.4828</x:v>
      </x:c>
      <x:c r="U82"/>
      <x:c r="V82"/>
      <x:c r="W82" s="42" t="b">
        <x:v>0</x:v>
      </x:c>
      <x:c r="X82" s="42" t="b">
        <x:v>0</x:v>
      </x:c>
      <x:c r="Y82" t="n">
        <x:v>0</x:v>
      </x:c>
      <x:c r="Z82" s="42" t="b">
        <x:v>0</x:v>
      </x:c>
      <x:c r="AA82"/>
      <x:c r="AB82" t="str">
        <x:v>Cement-sand plaster</x:v>
      </x:c>
    </x:row>
    <x:row r="83">
      <x:c r="A83" t="str">
        <x:v>deepseek</x:v>
      </x:c>
      <x:c r="B83" t="str">
        <x:v>S12</x:v>
      </x:c>
      <x:c r="C83" t="str">
        <x:v>Stonecrete House</x:v>
      </x:c>
      <x:c r="D83" t="str">
        <x:v>Plaster 1:6 — Internal Walls, 12 mm thick</x:v>
      </x:c>
      <x:c r="E83" t="str">
        <x:v>review_required</x:v>
      </x:c>
      <x:c r="F83" s="42" t="b">
        <x:v>1</x:v>
      </x:c>
      <x:c r="G83"/>
      <x:c r="H83"/>
      <x:c r="I83" t="str">
        <x:v>Plaster 1:6 — Internal Walls, 12 mm thick</x:v>
      </x:c>
      <x:c r="J83" t="str">
        <x:v>direct</x:v>
      </x:c>
      <x:c r="K83" t="str">
        <x:v>34f2d06e-8bfe-4af0-bf23-3e01c73bb7b1</x:v>
      </x:c>
      <x:c r="L83" t="str">
        <x:v>Dummy_Steel scrap (external supply)</x:v>
      </x:c>
      <x:c r="M83" s="42" t="b">
        <x:v>1</x:v>
      </x:c>
      <x:c r="N83" s="42" t="b">
        <x:v>1</x:v>
      </x:c>
      <x:c r="O83" t="str">
        <x:v>ok</x:v>
      </x:c>
      <x:c r="P83" t="n">
        <x:v>8.466178207000212</x:v>
      </x:c>
      <x:c r="Q83" t="n">
        <x:v>150</x:v>
      </x:c>
      <x:c r="R83" s="42" t="b">
        <x:v>0</x:v>
      </x:c>
      <x:c r="S83" s="42" t="b">
        <x:v>0</x:v>
      </x:c>
      <x:c r="T83" t="n">
        <x:v>0.2807</x:v>
      </x:c>
      <x:c r="U83"/>
      <x:c r="V83"/>
      <x:c r="W83" s="42" t="b">
        <x:v>0</x:v>
      </x:c>
      <x:c r="X83" s="42" t="b">
        <x:v>0</x:v>
      </x:c>
      <x:c r="Y83" t="n">
        <x:v>0</x:v>
      </x:c>
      <x:c r="Z83" s="42" t="b">
        <x:v>0</x:v>
      </x:c>
      <x:c r="AA83"/>
      <x:c r="AB83" t="str">
        <x:v>Cement-sand plaster</x:v>
      </x:c>
    </x:row>
    <x:row r="84">
      <x:c r="A84" t="str">
        <x:v>deepseek</x:v>
      </x:c>
      <x:c r="B84" t="str">
        <x:v>B01</x:v>
      </x:c>
      <x:c r="C84" t="str">
        <x:v>Bamboo House</x:v>
      </x:c>
      <x:c r="D84" t="str">
        <x:v>Cement</x:v>
      </x:c>
      <x:c r="E84" t="str">
        <x:v>direct</x:v>
      </x:c>
      <x:c r="F84" s="42" t="b">
        <x:v>0</x:v>
      </x:c>
      <x:c r="G84" t="n">
        <x:v>1</x:v>
      </x:c>
      <x:c r="H84" t="n">
        <x:v>1</x:v>
      </x:c>
      <x:c r="I84" t="str">
        <x:v>Cement</x:v>
      </x:c>
      <x:c r="J84" t="str">
        <x:v>direct</x:v>
      </x:c>
      <x:c r="K84" t="str">
        <x:v>ec450ce7-4598-4ca5-9ab3-452ff1c750a4</x:v>
      </x:c>
      <x:c r="L84" t="str">
        <x:v>Sulphur, consumption mix, at refinery, from crude oil, elemental sulphur</x:v>
      </x:c>
      <x:c r="M84" s="42" t="b">
        <x:v>0</x:v>
      </x:c>
      <x:c r="N84" s="42" t="b">
        <x:v>0</x:v>
      </x:c>
      <x:c r="O84" t="str">
        <x:v>invalid_ranking</x:v>
      </x:c>
      <x:c r="P84" t="n">
        <x:v>7.113879076999638</x:v>
      </x:c>
      <x:c r="Q84" t="n">
        <x:v>138</x:v>
      </x:c>
      <x:c r="R84" s="42" t="b">
        <x:v>0</x:v>
      </x:c>
      <x:c r="S84" s="42" t="b">
        <x:v>1</x:v>
      </x:c>
      <x:c r="T84" t="n">
        <x:v>1</x:v>
      </x:c>
      <x:c r="U84" t="n">
        <x:v>0</x:v>
      </x:c>
      <x:c r="V84" t="n">
        <x:v>0</x:v>
      </x:c>
      <x:c r="W84" s="42" t="b">
        <x:v>1</x:v>
      </x:c>
      <x:c r="X84" s="42" t="b">
        <x:v>1</x:v>
      </x:c>
      <x:c r="Y84"/>
      <x:c r="Z84" s="42" t="b">
        <x:v>0</x:v>
      </x:c>
      <x:c r="AA84" t="str">
        <x:v>600573dd-dfa5-44e5-b458-8727e793ffd7</x:v>
      </x:c>
      <x:c r="AB84" t="str">
        <x:v>Cement</x:v>
      </x:c>
    </x:row>
    <x:row r="85">
      <x:c r="A85" t="str">
        <x:v>deepseek</x:v>
      </x:c>
      <x:c r="B85" t="str">
        <x:v>B02</x:v>
      </x:c>
      <x:c r="C85" t="str">
        <x:v>Bamboo House</x:v>
      </x:c>
      <x:c r="D85" t="str">
        <x:v>Sand</x:v>
      </x:c>
      <x:c r="E85" t="str">
        <x:v>direct</x:v>
      </x:c>
      <x:c r="F85" s="42" t="b">
        <x:v>0</x:v>
      </x:c>
      <x:c r="G85" t="n">
        <x:v>1</x:v>
      </x:c>
      <x:c r="H85" t="n">
        <x:v>1</x:v>
      </x:c>
      <x:c r="I85" t="str">
        <x:v>Sand</x:v>
      </x:c>
      <x:c r="J85" t="str">
        <x:v>direct</x:v>
      </x:c>
      <x:c r="K85" t="str">
        <x:v>b81d1e8f-5a19-483a-8077-4799839ecf26</x:v>
      </x:c>
      <x:c r="L85" t="str">
        <x:v>Very fine milled silica sand d50 = 20 micrometer, at plant, Production, median diameter of silica sand grains is 20 micrometers</x:v>
      </x:c>
      <x:c r="M85" s="42" t="b">
        <x:v>1</x:v>
      </x:c>
      <x:c r="N85" s="42" t="b">
        <x:v>1</x:v>
      </x:c>
      <x:c r="O85" t="str">
        <x:v>ok</x:v>
      </x:c>
      <x:c r="P85" t="n">
        <x:v>7.744180245999814</x:v>
      </x:c>
      <x:c r="Q85" t="n">
        <x:v>141</x:v>
      </x:c>
      <x:c r="R85" s="42" t="b">
        <x:v>0</x:v>
      </x:c>
      <x:c r="S85" s="42" t="b">
        <x:v>1</x:v>
      </x:c>
      <x:c r="T85" t="n">
        <x:v>1</x:v>
      </x:c>
      <x:c r="U85" t="n">
        <x:v>0</x:v>
      </x:c>
      <x:c r="V85" t="n">
        <x:v>0</x:v>
      </x:c>
      <x:c r="W85" s="42" t="b">
        <x:v>1</x:v>
      </x:c>
      <x:c r="X85" s="42" t="b">
        <x:v>1</x:v>
      </x:c>
      <x:c r="Y85"/>
      <x:c r="Z85" s="42" t="b">
        <x:v>0</x:v>
      </x:c>
      <x:c r="AA85" t="str">
        <x:v>898618b1-3306-11dd-bd11-0800200c9a66</x:v>
      </x:c>
      <x:c r="AB85" t="str">
        <x:v>Sand</x:v>
      </x:c>
    </x:row>
    <x:row r="86">
      <x:c r="A86" t="str">
        <x:v>deepseek</x:v>
      </x:c>
      <x:c r="B86" t="str">
        <x:v>B03</x:v>
      </x:c>
      <x:c r="C86" t="str">
        <x:v>Bamboo House</x:v>
      </x:c>
      <x:c r="D86" t="str">
        <x:v>Natural Gravel</x:v>
      </x:c>
      <x:c r="E86" t="str">
        <x:v>direct</x:v>
      </x:c>
      <x:c r="F86" s="42" t="b">
        <x:v>0</x:v>
      </x:c>
      <x:c r="G86" t="n">
        <x:v>1</x:v>
      </x:c>
      <x:c r="H86" t="n">
        <x:v>0</x:v>
      </x:c>
      <x:c r="I86" t="str">
        <x:v>Gravel</x:v>
      </x:c>
      <x:c r="J86" t="str">
        <x:v>direct</x:v>
      </x:c>
      <x:c r="K86" t="str">
        <x:v>6fa573e3-1df3-4f48-b4f3-20f3c51d7098</x:v>
      </x:c>
      <x:c r="L86" t="str">
        <x:v>Process steam from natural gas, consumption mix, at plant, heat plant, MJ</x:v>
      </x:c>
      <x:c r="M86" s="42" t="b">
        <x:v>0</x:v>
      </x:c>
      <x:c r="N86" s="42" t="b">
        <x:v>0</x:v>
      </x:c>
      <x:c r="O86" t="str">
        <x:v>invalid_ranking</x:v>
      </x:c>
      <x:c r="P86" t="n">
        <x:v>7.950145991000227</x:v>
      </x:c>
      <x:c r="Q86" t="n">
        <x:v>142</x:v>
      </x:c>
      <x:c r="R86" s="42" t="b">
        <x:v>0</x:v>
      </x:c>
      <x:c r="S86" s="42" t="b">
        <x:v>1</x:v>
      </x:c>
      <x:c r="T86" t="n">
        <x:v>1</x:v>
      </x:c>
      <x:c r="U86" t="n">
        <x:v>0</x:v>
      </x:c>
      <x:c r="V86" t="n">
        <x:v>0</x:v>
      </x:c>
      <x:c r="W86" s="42" t="b">
        <x:v>1</x:v>
      </x:c>
      <x:c r="X86" s="42" t="b">
        <x:v>1</x:v>
      </x:c>
      <x:c r="Y86"/>
      <x:c r="Z86" s="42" t="b">
        <x:v>0</x:v>
      </x:c>
      <x:c r="AA86" t="str">
        <x:v>898618b2-3306-11dd-bd11-0800200c9a66</x:v>
      </x:c>
      <x:c r="AB86" t="str">
        <x:v>Gravel</x:v>
      </x:c>
    </x:row>
    <x:row r="87">
      <x:c r="A87" t="str">
        <x:v>deepseek</x:v>
      </x:c>
      <x:c r="B87" t="str">
        <x:v>B04</x:v>
      </x:c>
      <x:c r="C87" t="str">
        <x:v>Bamboo House</x:v>
      </x:c>
      <x:c r="D87" t="str">
        <x:v>Stone</x:v>
      </x:c>
      <x:c r="E87" t="str">
        <x:v>proxy</x:v>
      </x:c>
      <x:c r="F87" s="42" t="b">
        <x:v>0</x:v>
      </x:c>
      <x:c r="G87" t="n">
        <x:v>1</x:v>
      </x:c>
      <x:c r="H87" t="n">
        <x:v>0</x:v>
      </x:c>
      <x:c r="I87" t="str">
        <x:v>Stone</x:v>
      </x:c>
      <x:c r="J87" t="str">
        <x:v>direct</x:v>
      </x:c>
      <x:c r="K87" t="str">
        <x:v>2b78d6f1-2d78-4781-9701-3d34e00f2762</x:v>
      </x:c>
      <x:c r="L87" t="str">
        <x:v>Bentonite granular, sodium activated, Production at plant, 1000 kg of bentonite sodium activated granular with a particle size ranging from 0.5 to 5 mm and a moisture content ranging between 8 and 13%, stored in silo, ready to be shipped in bulk., none</x:v>
      </x:c>
      <x:c r="M87" s="42" t="b">
        <x:v>1</x:v>
      </x:c>
      <x:c r="N87" s="42" t="b">
        <x:v>1</x:v>
      </x:c>
      <x:c r="O87" t="str">
        <x:v>ok</x:v>
      </x:c>
      <x:c r="P87" t="n">
        <x:v>7.089242832999844</x:v>
      </x:c>
      <x:c r="Q87" t="n">
        <x:v>139</x:v>
      </x:c>
      <x:c r="R87" s="42" t="b">
        <x:v>0</x:v>
      </x:c>
      <x:c r="S87" s="42" t="b">
        <x:v>1</x:v>
      </x:c>
      <x:c r="T87" t="n">
        <x:v>1</x:v>
      </x:c>
      <x:c r="U87" t="n">
        <x:v>0</x:v>
      </x:c>
      <x:c r="V87" t="n">
        <x:v>0</x:v>
      </x:c>
      <x:c r="W87" s="42" t="b">
        <x:v>0</x:v>
      </x:c>
      <x:c r="X87" s="42" t="b">
        <x:v>1</x:v>
      </x:c>
      <x:c r="Y87"/>
      <x:c r="Z87" s="42" t="b">
        <x:v>0</x:v>
      </x:c>
      <x:c r="AA87" t="str">
        <x:v>898618b3-3306-11dd-bd11-0800200c9a66</x:v>
      </x:c>
      <x:c r="AB87" t="str">
        <x:v>Stone</x:v>
      </x:c>
    </x:row>
    <x:row r="88">
      <x:c r="A88" t="str">
        <x:v>deepseek</x:v>
      </x:c>
      <x:c r="B88" t="str">
        <x:v>B05</x:v>
      </x:c>
      <x:c r="C88" t="str">
        <x:v>Bamboo House</x:v>
      </x:c>
      <x:c r="D88" t="str">
        <x:v>Soil</x:v>
      </x:c>
      <x:c r="E88" t="str">
        <x:v>review_required</x:v>
      </x:c>
      <x:c r="F88" s="42" t="b">
        <x:v>1</x:v>
      </x:c>
      <x:c r="G88"/>
      <x:c r="H88"/>
      <x:c r="I88" t="str">
        <x:v>Soil</x:v>
      </x:c>
      <x:c r="J88" t="str">
        <x:v>direct</x:v>
      </x:c>
      <x:c r="K88" t="str">
        <x:v>e3cd6a07-b8b5-46dd-881b-2b77f6c3f27c</x:v>
      </x:c>
      <x:c r="L88" t="str">
        <x:v>Process steam from heavy fuel oil, consumption mix, at plant, heat plant, MJ</x:v>
      </x:c>
      <x:c r="M88" s="42" t="b">
        <x:v>1</x:v>
      </x:c>
      <x:c r="N88" s="42" t="b">
        <x:v>1</x:v>
      </x:c>
      <x:c r="O88" t="str">
        <x:v>ok</x:v>
      </x:c>
      <x:c r="P88" t="n">
        <x:v>7.682358827999906</x:v>
      </x:c>
      <x:c r="Q88" t="n">
        <x:v>139</x:v>
      </x:c>
      <x:c r="R88" s="42" t="b">
        <x:v>0</x:v>
      </x:c>
      <x:c r="S88" s="42" t="b">
        <x:v>1</x:v>
      </x:c>
      <x:c r="T88" t="n">
        <x:v>1</x:v>
      </x:c>
      <x:c r="U88"/>
      <x:c r="V88"/>
      <x:c r="W88" s="42" t="b">
        <x:v>0</x:v>
      </x:c>
      <x:c r="X88" s="42" t="b">
        <x:v>0</x:v>
      </x:c>
      <x:c r="Y88" t="n">
        <x:v>0</x:v>
      </x:c>
      <x:c r="Z88" s="42" t="b">
        <x:v>0</x:v>
      </x:c>
      <x:c r="AA88"/>
      <x:c r="AB88" t="str">
        <x:v>Soil</x:v>
      </x:c>
    </x:row>
    <x:row r="89">
      <x:c r="A89" t="str">
        <x:v>deepseek</x:v>
      </x:c>
      <x:c r="B89" t="str">
        <x:v>B06</x:v>
      </x:c>
      <x:c r="C89" t="str">
        <x:v>Bamboo House</x:v>
      </x:c>
      <x:c r="D89" t="str">
        <x:v>Local Wood</x:v>
      </x:c>
      <x:c r="E89" t="str">
        <x:v>proxy</x:v>
      </x:c>
      <x:c r="F89" s="42" t="b">
        <x:v>0</x:v>
      </x:c>
      <x:c r="G89" t="n">
        <x:v>1</x:v>
      </x:c>
      <x:c r="H89" t="n">
        <x:v>0</x:v>
      </x:c>
      <x:c r="I89" t="str">
        <x:v>Local Wood</x:v>
      </x:c>
      <x:c r="J89" t="str">
        <x:v>direct</x:v>
      </x:c>
      <x:c r="K89" t="str">
        <x:v>2b61a4d6-bd1d-4ea3-828c-fdbdf5fca1f9</x:v>
      </x:c>
      <x:c r="L89" t="str">
        <x:v>Spruce wood, production mix, at saw mill, timber, 40% water content</x:v>
      </x:c>
      <x:c r="M89" s="42" t="b">
        <x:v>1</x:v>
      </x:c>
      <x:c r="N89" s="42" t="b">
        <x:v>1</x:v>
      </x:c>
      <x:c r="O89" t="str">
        <x:v>ok</x:v>
      </x:c>
      <x:c r="P89" t="n">
        <x:v>6.788232761000017</x:v>
      </x:c>
      <x:c r="Q89" t="n">
        <x:v>135</x:v>
      </x:c>
      <x:c r="R89" s="42" t="b">
        <x:v>0</x:v>
      </x:c>
      <x:c r="S89" s="42" t="b">
        <x:v>0</x:v>
      </x:c>
      <x:c r="T89" t="n">
        <x:v>0.5714</x:v>
      </x:c>
      <x:c r="U89" t="n">
        <x:v>1</x:v>
      </x:c>
      <x:c r="V89" t="n">
        <x:v>1</x:v>
      </x:c>
      <x:c r="W89" s="42" t="b">
        <x:v>0</x:v>
      </x:c>
      <x:c r="X89" s="42" t="b">
        <x:v>1</x:v>
      </x:c>
      <x:c r="Y89"/>
      <x:c r="Z89" s="42" t="b">
        <x:v>0</x:v>
      </x:c>
      <x:c r="AA89" t="str">
        <x:v>2b61a4d6-bd1d-4ea3-828c-fdbdf5fca1f9</x:v>
      </x:c>
      <x:c r="AB89" t="str">
        <x:v>Wood</x:v>
      </x:c>
    </x:row>
    <x:row r="90">
      <x:c r="A90" t="str">
        <x:v>deepseek</x:v>
      </x:c>
      <x:c r="B90" t="str">
        <x:v>B07</x:v>
      </x:c>
      <x:c r="C90" t="str">
        <x:v>Bamboo House</x:v>
      </x:c>
      <x:c r="D90" t="str">
        <x:v>19mm Plywood</x:v>
      </x:c>
      <x:c r="E90" t="str">
        <x:v>proxy</x:v>
      </x:c>
      <x:c r="F90" s="42" t="b">
        <x:v>0</x:v>
      </x:c>
      <x:c r="G90" t="n">
        <x:v>0</x:v>
      </x:c>
      <x:c r="H90" t="n">
        <x:v>0</x:v>
      </x:c>
      <x:c r="I90" t="str">
        <x:v>19mm Plywood</x:v>
      </x:c>
      <x:c r="J90" t="str">
        <x:v>direct</x:v>
      </x:c>
      <x:c r="K90" t="str">
        <x:v>39f61d7a-9cea-4e61-b292-50ad6ee05ccc</x:v>
      </x:c>
      <x:c r="L90" t="str">
        <x:v>Waste incineration of wood products (OSB, particle board), at plant, average European waste-to-energy plant, without collection, transport and pre-treatment</x:v>
      </x:c>
      <x:c r="M90" s="42" t="b">
        <x:v>1</x:v>
      </x:c>
      <x:c r="N90" s="42" t="b">
        <x:v>1</x:v>
      </x:c>
      <x:c r="O90" t="str">
        <x:v>ok</x:v>
      </x:c>
      <x:c r="P90" t="n">
        <x:v>7.574441610000122</x:v>
      </x:c>
      <x:c r="Q90" t="n">
        <x:v>138</x:v>
      </x:c>
      <x:c r="R90" s="42" t="b">
        <x:v>0</x:v>
      </x:c>
      <x:c r="S90" s="42" t="b">
        <x:v>0</x:v>
      </x:c>
      <x:c r="T90" t="n">
        <x:v>0.7368</x:v>
      </x:c>
      <x:c r="U90" t="n">
        <x:v>0</x:v>
      </x:c>
      <x:c r="V90"/>
      <x:c r="W90" s="42" t="b">
        <x:v>0</x:v>
      </x:c>
      <x:c r="X90" s="42" t="b">
        <x:v>1</x:v>
      </x:c>
      <x:c r="Y90"/>
      <x:c r="Z90" s="42" t="b">
        <x:v>0</x:v>
      </x:c>
      <x:c r="AA90" t="str">
        <x:v>f7e0f0fd-fb6b-40b5-9300-bddba423e084</x:v>
      </x:c>
      <x:c r="AB90" t="str">
        <x:v>Plywood</x:v>
      </x:c>
    </x:row>
    <x:row r="91">
      <x:c r="A91" t="str">
        <x:v>deepseek</x:v>
      </x:c>
      <x:c r="B91" t="str">
        <x:v>B08</x:v>
      </x:c>
      <x:c r="C91" t="str">
        <x:v>Bamboo House</x:v>
      </x:c>
      <x:c r="D91" t="str">
        <x:v>Nail</x:v>
      </x:c>
      <x:c r="E91" t="str">
        <x:v>proxy</x:v>
      </x:c>
      <x:c r="F91" s="42" t="b">
        <x:v>0</x:v>
      </x:c>
      <x:c r="G91" t="n">
        <x:v>0</x:v>
      </x:c>
      <x:c r="H91" t="n">
        <x:v>0</x:v>
      </x:c>
      <x:c r="I91" t="str">
        <x:v>Nail</x:v>
      </x:c>
      <x:c r="J91" t="str">
        <x:v>direct</x:v>
      </x:c>
      <x:c r="K91" t="str">
        <x:v>9d66aabb-906f-45f6-b3f3-6d002cae096d</x:v>
      </x:c>
      <x:c r="L91" t="str">
        <x:v>Rail transport, technology mix, electricity driven, cargo</x:v>
      </x:c>
      <x:c r="M91" s="42" t="b">
        <x:v>1</x:v>
      </x:c>
      <x:c r="N91" s="42" t="b">
        <x:v>1</x:v>
      </x:c>
      <x:c r="O91" t="str">
        <x:v>ok</x:v>
      </x:c>
      <x:c r="P91" t="n">
        <x:v>7.281479751000006</x:v>
      </x:c>
      <x:c r="Q91" t="n">
        <x:v>137</x:v>
      </x:c>
      <x:c r="R91" s="42" t="b">
        <x:v>0</x:v>
      </x:c>
      <x:c r="S91" s="42" t="b">
        <x:v>0</x:v>
      </x:c>
      <x:c r="T91" t="n">
        <x:v>0.5714</x:v>
      </x:c>
      <x:c r="U91" t="n">
        <x:v>0</x:v>
      </x:c>
      <x:c r="V91"/>
      <x:c r="W91" s="42" t="b">
        <x:v>0</x:v>
      </x:c>
      <x:c r="X91" s="42" t="b">
        <x:v>1</x:v>
      </x:c>
      <x:c r="Y91"/>
      <x:c r="Z91" s="42" t="b">
        <x:v>0</x:v>
      </x:c>
      <x:c r="AA91" t="str">
        <x:v>09d61948-238a-40e7-8e1f-afdc0c98f902</x:v>
      </x:c>
      <x:c r="AB91" t="str">
        <x:v>Steel nail</x:v>
      </x:c>
    </x:row>
    <x:row r="92">
      <x:c r="A92" t="str">
        <x:v>deepseek</x:v>
      </x:c>
      <x:c r="B92" t="str">
        <x:v>B09</x:v>
      </x:c>
      <x:c r="C92" t="str">
        <x:v>Bamboo House</x:v>
      </x:c>
      <x:c r="D92" t="str">
        <x:v>10mm Rebar</x:v>
      </x:c>
      <x:c r="E92" t="str">
        <x:v>direct</x:v>
      </x:c>
      <x:c r="F92" s="42" t="b">
        <x:v>0</x:v>
      </x:c>
      <x:c r="G92" t="n">
        <x:v>1</x:v>
      </x:c>
      <x:c r="H92" t="n">
        <x:v>1</x:v>
      </x:c>
      <x:c r="I92" t="str">
        <x:v>10mm Rebar</x:v>
      </x:c>
      <x:c r="J92" t="str">
        <x:v>direct</x:v>
      </x:c>
      <x:c r="K92" t="str">
        <x:v>268a11fb-baf2-4b9e-8867-38bea0e76ef6</x:v>
      </x:c>
      <x:c r="L92" t="str">
        <x:v>Steel rebar, production mix, at plant, blast furnace and electric arc furnace route,</x:v>
      </x:c>
      <x:c r="M92" s="42" t="b">
        <x:v>1</x:v>
      </x:c>
      <x:c r="N92" s="42" t="b">
        <x:v>1</x:v>
      </x:c>
      <x:c r="O92" t="str">
        <x:v>ok</x:v>
      </x:c>
      <x:c r="P92" t="n">
        <x:v>5.516920147999826</x:v>
      </x:c>
      <x:c r="Q92" t="n">
        <x:v>107</x:v>
      </x:c>
      <x:c r="R92" s="42" t="b">
        <x:v>0</x:v>
      </x:c>
      <x:c r="S92" s="42" t="b">
        <x:v>0</x:v>
      </x:c>
      <x:c r="T92" t="n">
        <x:v>0.6667</x:v>
      </x:c>
      <x:c r="U92" t="n">
        <x:v>1</x:v>
      </x:c>
      <x:c r="V92" t="n">
        <x:v>1</x:v>
      </x:c>
      <x:c r="W92" s="42" t="b">
        <x:v>1</x:v>
      </x:c>
      <x:c r="X92" s="42" t="b">
        <x:v>1</x:v>
      </x:c>
      <x:c r="Y92"/>
      <x:c r="Z92" s="42" t="b">
        <x:v>0</x:v>
      </x:c>
      <x:c r="AA92" t="str">
        <x:v>268a11fb-baf2-4b9e-8867-38bea0e76ef6</x:v>
      </x:c>
      <x:c r="AB92" t="str">
        <x:v>Rebar</x:v>
      </x:c>
    </x:row>
    <x:row r="93">
      <x:c r="A93" t="str">
        <x:v>deepseek</x:v>
      </x:c>
      <x:c r="B93" t="str">
        <x:v>B10</x:v>
      </x:c>
      <x:c r="C93" t="str">
        <x:v>Bamboo House</x:v>
      </x:c>
      <x:c r="D93" t="str">
        <x:v>7mm Rebar</x:v>
      </x:c>
      <x:c r="E93" t="str">
        <x:v>direct</x:v>
      </x:c>
      <x:c r="F93" s="42" t="b">
        <x:v>0</x:v>
      </x:c>
      <x:c r="G93" t="n">
        <x:v>1</x:v>
      </x:c>
      <x:c r="H93" t="n">
        <x:v>1</x:v>
      </x:c>
      <x:c r="I93" t="str">
        <x:v>7mm Rebar</x:v>
      </x:c>
      <x:c r="J93" t="str">
        <x:v>direct</x:v>
      </x:c>
      <x:c r="K93"/>
      <x:c r="L93"/>
      <x:c r="M93" s="42" t="b">
        <x:v>0</x:v>
      </x:c>
      <x:c r="N93" s="42" t="b">
        <x:v>0</x:v>
      </x:c>
      <x:c r="O93" t="str">
        <x:v>invalid_ranking</x:v>
      </x:c>
      <x:c r="P93" t="n">
        <x:v>4.317690679999941</x:v>
      </x:c>
      <x:c r="Q93" t="n">
        <x:v>80</x:v>
      </x:c>
      <x:c r="R93" s="42" t="b">
        <x:v>0</x:v>
      </x:c>
      <x:c r="S93" s="42" t="b">
        <x:v>0</x:v>
      </x:c>
      <x:c r="T93" t="n">
        <x:v>0.7143</x:v>
      </x:c>
      <x:c r="U93" t="n">
        <x:v>0</x:v>
      </x:c>
      <x:c r="V93" t="n">
        <x:v>0</x:v>
      </x:c>
      <x:c r="W93" s="42" t="b">
        <x:v>1</x:v>
      </x:c>
      <x:c r="X93" s="42" t="b">
        <x:v>1</x:v>
      </x:c>
      <x:c r="Y93"/>
      <x:c r="Z93" s="42" t="b">
        <x:v>0</x:v>
      </x:c>
      <x:c r="AA93" t="str">
        <x:v>268a11fb-baf2-4b9e-8867-38bea0e76ef6</x:v>
      </x:c>
      <x:c r="AB93" t="str">
        <x:v>Rebar</x:v>
      </x:c>
    </x:row>
    <x:row r="94">
      <x:c r="A94" t="str">
        <x:v>deepseek</x:v>
      </x:c>
      <x:c r="B94" t="str">
        <x:v>B11</x:v>
      </x:c>
      <x:c r="C94" t="str">
        <x:v>Bamboo House</x:v>
      </x:c>
      <x:c r="D94" t="str">
        <x:v>Binding Wire</x:v>
      </x:c>
      <x:c r="E94" t="str">
        <x:v>proxy</x:v>
      </x:c>
      <x:c r="F94" s="42" t="b">
        <x:v>0</x:v>
      </x:c>
      <x:c r="G94" t="n">
        <x:v>0</x:v>
      </x:c>
      <x:c r="H94" t="n">
        <x:v>0</x:v>
      </x:c>
      <x:c r="I94" t="str">
        <x:v>Binding Wire</x:v>
      </x:c>
      <x:c r="J94" t="str">
        <x:v>direct</x:v>
      </x:c>
      <x:c r="K94" t="str">
        <x:v>11bceac4-b3d8-4048-8e80-b691ecd2c261</x:v>
      </x:c>
      <x:c r="L94" t="str">
        <x:v>Copper wire, consumption mix, at plant, technology mix, cross section 1 mmy</x:v>
      </x:c>
      <x:c r="M94" s="42" t="b">
        <x:v>1</x:v>
      </x:c>
      <x:c r="N94" s="42" t="b">
        <x:v>1</x:v>
      </x:c>
      <x:c r="O94" t="str">
        <x:v>ok</x:v>
      </x:c>
      <x:c r="P94" t="n">
        <x:v>7.613526100999934</x:v>
      </x:c>
      <x:c r="Q94" t="n">
        <x:v>137</x:v>
      </x:c>
      <x:c r="R94" s="42" t="b">
        <x:v>0</x:v>
      </x:c>
      <x:c r="S94" s="42" t="b">
        <x:v>0</x:v>
      </x:c>
      <x:c r="T94" t="n">
        <x:v>0.8</x:v>
      </x:c>
      <x:c r="U94" t="n">
        <x:v>0</x:v>
      </x:c>
      <x:c r="V94"/>
      <x:c r="W94" s="42" t="b">
        <x:v>0</x:v>
      </x:c>
      <x:c r="X94" s="42" t="b">
        <x:v>1</x:v>
      </x:c>
      <x:c r="Y94"/>
      <x:c r="Z94" s="42" t="b">
        <x:v>0</x:v>
      </x:c>
      <x:c r="AA94" t="str">
        <x:v>09d61948-238a-40e7-8e1f-afdc0c98f902</x:v>
      </x:c>
      <x:c r="AB94" t="str">
        <x:v>Steel binding wire</x:v>
      </x:c>
    </x:row>
    <x:row r="95">
      <x:c r="A95" t="str">
        <x:v>deepseek</x:v>
      </x:c>
      <x:c r="B95" t="str">
        <x:v>B12</x:v>
      </x:c>
      <x:c r="C95" t="str">
        <x:v>Bamboo House</x:v>
      </x:c>
      <x:c r="D95" t="str">
        <x:v>24 Gauge CGI Sheets</x:v>
      </x:c>
      <x:c r="E95" t="str">
        <x:v>proxy</x:v>
      </x:c>
      <x:c r="F95" s="42" t="b">
        <x:v>0</x:v>
      </x:c>
      <x:c r="G95" t="n">
        <x:v>0</x:v>
      </x:c>
      <x:c r="H95" t="n">
        <x:v>0</x:v>
      </x:c>
      <x:c r="I95" t="str">
        <x:v>24 Gauge CGI Sheets</x:v>
      </x:c>
      <x:c r="J95" t="str">
        <x:v>direct</x:v>
      </x:c>
      <x:c r="K95" t="str">
        <x:v>7311da1a-673f-96b5-66ef-00004409928e</x:v>
      </x:c>
      <x:c r="L95" t="str">
        <x:v>corrugated board sheets, production mix, at plant, technology mix, 18% primary fibre, 82 % recycled fibre</x:v>
      </x:c>
      <x:c r="M95" s="42" t="b">
        <x:v>1</x:v>
      </x:c>
      <x:c r="N95" s="42" t="b">
        <x:v>1</x:v>
      </x:c>
      <x:c r="O95" t="str">
        <x:v>ok</x:v>
      </x:c>
      <x:c r="P95" t="n">
        <x:v>7.567187429000114</x:v>
      </x:c>
      <x:c r="Q95" t="n">
        <x:v>139</x:v>
      </x:c>
      <x:c r="R95" s="42" t="b">
        <x:v>0</x:v>
      </x:c>
      <x:c r="S95" s="42" t="b">
        <x:v>0</x:v>
      </x:c>
      <x:c r="T95" t="n">
        <x:v>0.4615</x:v>
      </x:c>
      <x:c r="U95" t="n">
        <x:v>0</x:v>
      </x:c>
      <x:c r="V95"/>
      <x:c r="W95" s="42" t="b">
        <x:v>0</x:v>
      </x:c>
      <x:c r="X95" s="42" t="b">
        <x:v>1</x:v>
      </x:c>
      <x:c r="Y95"/>
      <x:c r="Z95" s="42" t="b">
        <x:v>0</x:v>
      </x:c>
      <x:c r="AA95" t="str">
        <x:v>339b2536-c881-409d-ac71-49ab0d228fe3</x:v>
      </x:c>
      <x:c r="AB95" t="str">
        <x:v>Corrugated galvanized steel sheet</x:v>
      </x:c>
    </x:row>
    <x:row r="96">
      <x:c r="A96" t="str">
        <x:v>deepseek</x:v>
      </x:c>
      <x:c r="B96" t="str">
        <x:v>B13</x:v>
      </x:c>
      <x:c r="C96" t="str">
        <x:v>Bamboo House</x:v>
      </x:c>
      <x:c r="D96" t="str">
        <x:v>3mm Commercial Plywood</x:v>
      </x:c>
      <x:c r="E96" t="str">
        <x:v>proxy</x:v>
      </x:c>
      <x:c r="F96" s="42" t="b">
        <x:v>0</x:v>
      </x:c>
      <x:c r="G96" t="n">
        <x:v>0</x:v>
      </x:c>
      <x:c r="H96" t="n">
        <x:v>0</x:v>
      </x:c>
      <x:c r="I96" t="str">
        <x:v>3mm Commercial Plywood</x:v>
      </x:c>
      <x:c r="J96" t="str">
        <x:v>direct</x:v>
      </x:c>
      <x:c r="K96" t="str">
        <x:v>9cdee12d-29bf-4621-87d9-52ebbef06070</x:v>
      </x:c>
      <x:c r="L96" t="str">
        <x:v>Dummy_Wooden pallet (EURO)</x:v>
      </x:c>
      <x:c r="M96" s="42" t="b">
        <x:v>1</x:v>
      </x:c>
      <x:c r="N96" s="42" t="b">
        <x:v>1</x:v>
      </x:c>
      <x:c r="O96" t="str">
        <x:v>ok</x:v>
      </x:c>
      <x:c r="P96" t="n">
        <x:v>7.0047343680003</x:v>
      </x:c>
      <x:c r="Q96" t="n">
        <x:v>138</x:v>
      </x:c>
      <x:c r="R96" s="42" t="b">
        <x:v>0</x:v>
      </x:c>
      <x:c r="S96" s="42" t="b">
        <x:v>0</x:v>
      </x:c>
      <x:c r="T96" t="n">
        <x:v>0.4828</x:v>
      </x:c>
      <x:c r="U96" t="n">
        <x:v>0</x:v>
      </x:c>
      <x:c r="V96"/>
      <x:c r="W96" s="42" t="b">
        <x:v>0</x:v>
      </x:c>
      <x:c r="X96" s="42" t="b">
        <x:v>1</x:v>
      </x:c>
      <x:c r="Y96"/>
      <x:c r="Z96" s="42" t="b">
        <x:v>0</x:v>
      </x:c>
      <x:c r="AA96" t="str">
        <x:v>f7e0f0fd-fb6b-40b5-9300-bddba423e084</x:v>
      </x:c>
      <x:c r="AB96" t="str">
        <x:v>Plywood</x:v>
      </x:c>
    </x:row>
    <x:row r="97">
      <x:c r="A97" t="str">
        <x:v>deepseek</x:v>
      </x:c>
      <x:c r="B97" t="str">
        <x:v>B14</x:v>
      </x:c>
      <x:c r="C97" t="str">
        <x:v>Bamboo House</x:v>
      </x:c>
      <x:c r="D97" t="str">
        <x:v>Bamboo</x:v>
      </x:c>
      <x:c r="E97" t="str">
        <x:v>review_required</x:v>
      </x:c>
      <x:c r="F97" s="42" t="b">
        <x:v>1</x:v>
      </x:c>
      <x:c r="G97"/>
      <x:c r="H97"/>
      <x:c r="I97" t="str">
        <x:v>Bamboo</x:v>
      </x:c>
      <x:c r="J97" t="str">
        <x:v>direct</x:v>
      </x:c>
      <x:c r="K97" t="str">
        <x:v>398d9810-46a2-11dd-ae16-0800200c9a66</x:v>
      </x:c>
      <x:c r="L97" t="str">
        <x:v>Compressed air, production mix, at plant, 7 bar, high efficiency, low power consumption</x:v>
      </x:c>
      <x:c r="M97" s="42" t="b">
        <x:v>1</x:v>
      </x:c>
      <x:c r="N97" s="42" t="b">
        <x:v>1</x:v>
      </x:c>
      <x:c r="O97" t="str">
        <x:v>ok</x:v>
      </x:c>
      <x:c r="P97" t="n">
        <x:v>7.875116650000109</x:v>
      </x:c>
      <x:c r="Q97" t="n">
        <x:v>140</x:v>
      </x:c>
      <x:c r="R97" s="42" t="b">
        <x:v>0</x:v>
      </x:c>
      <x:c r="S97" s="42" t="b">
        <x:v>1</x:v>
      </x:c>
      <x:c r="T97" t="n">
        <x:v>1</x:v>
      </x:c>
      <x:c r="U97"/>
      <x:c r="V97"/>
      <x:c r="W97" s="42" t="b">
        <x:v>0</x:v>
      </x:c>
      <x:c r="X97" s="42" t="b">
        <x:v>0</x:v>
      </x:c>
      <x:c r="Y97" t="n">
        <x:v>0</x:v>
      </x:c>
      <x:c r="Z97" s="42" t="b">
        <x:v>0</x:v>
      </x:c>
      <x:c r="AA97"/>
      <x:c r="AB97" t="str">
        <x:v>Bamboo</x:v>
      </x:c>
    </x:row>
    <x:row r="98">
      <x:c r="A98" t="str">
        <x:v>deepseek</x:v>
      </x:c>
      <x:c r="B98" t="str">
        <x:v>A01</x:v>
      </x:c>
      <x:c r="C98" t="str">
        <x:v>Bamboo House with Attic</x:v>
      </x:c>
      <x:c r="D98" t="str">
        <x:v>Cement</x:v>
      </x:c>
      <x:c r="E98" t="str">
        <x:v>direct</x:v>
      </x:c>
      <x:c r="F98" s="42" t="b">
        <x:v>0</x:v>
      </x:c>
      <x:c r="G98" t="n">
        <x:v>1</x:v>
      </x:c>
      <x:c r="H98" t="n">
        <x:v>1</x:v>
      </x:c>
      <x:c r="I98" t="str">
        <x:v>Cement</x:v>
      </x:c>
      <x:c r="J98" t="str">
        <x:v>direct</x:v>
      </x:c>
      <x:c r="K98" t="str">
        <x:v>600573dd-dfa5-44e5-b458-8727e793ffd7</x:v>
      </x:c>
      <x:c r="L98" t="str">
        <x:v>Portland cement (CEM I), CEMBUREAU production mix, at plant, CEMBUREAU technology mix, EN 197-1</x:v>
      </x:c>
      <x:c r="M98" s="42" t="b">
        <x:v>1</x:v>
      </x:c>
      <x:c r="N98" s="42" t="b">
        <x:v>1</x:v>
      </x:c>
      <x:c r="O98" t="str">
        <x:v>ok</x:v>
      </x:c>
      <x:c r="P98" t="n">
        <x:v>7.133912348999729</x:v>
      </x:c>
      <x:c r="Q98" t="n">
        <x:v>138</x:v>
      </x:c>
      <x:c r="R98" s="42" t="b">
        <x:v>0</x:v>
      </x:c>
      <x:c r="S98" s="42" t="b">
        <x:v>1</x:v>
      </x:c>
      <x:c r="T98" t="n">
        <x:v>1</x:v>
      </x:c>
      <x:c r="U98" t="n">
        <x:v>1</x:v>
      </x:c>
      <x:c r="V98" t="n">
        <x:v>1</x:v>
      </x:c>
      <x:c r="W98" s="42" t="b">
        <x:v>1</x:v>
      </x:c>
      <x:c r="X98" s="42" t="b">
        <x:v>1</x:v>
      </x:c>
      <x:c r="Y98"/>
      <x:c r="Z98" s="42" t="b">
        <x:v>1</x:v>
      </x:c>
      <x:c r="AA98" t="str">
        <x:v>600573dd-dfa5-44e5-b458-8727e793ffd7</x:v>
      </x:c>
      <x:c r="AB98" t="str">
        <x:v>Cement</x:v>
      </x:c>
    </x:row>
    <x:row r="99">
      <x:c r="A99" t="str">
        <x:v>deepseek</x:v>
      </x:c>
      <x:c r="B99" t="str">
        <x:v>A02</x:v>
      </x:c>
      <x:c r="C99" t="str">
        <x:v>Bamboo House with Attic</x:v>
      </x:c>
      <x:c r="D99" t="str">
        <x:v>Sand</x:v>
      </x:c>
      <x:c r="E99" t="str">
        <x:v>direct</x:v>
      </x:c>
      <x:c r="F99" s="42" t="b">
        <x:v>0</x:v>
      </x:c>
      <x:c r="G99" t="n">
        <x:v>1</x:v>
      </x:c>
      <x:c r="H99" t="n">
        <x:v>1</x:v>
      </x:c>
      <x:c r="I99" t="str">
        <x:v>Sand</x:v>
      </x:c>
      <x:c r="J99" t="str">
        <x:v>direct</x:v>
      </x:c>
      <x:c r="K99" t="str">
        <x:v>89863fce-3306-11dd-bd11-0800200c9a66</x:v>
      </x:c>
      <x:c r="L99" t="str">
        <x:v>Landfill of paper waste, at landfill site, landfill including landfill gas utilisation and leachate treatment and without collection, transport and   pre-treatment</x:v>
      </x:c>
      <x:c r="M99" s="42" t="b">
        <x:v>1</x:v>
      </x:c>
      <x:c r="N99" s="42" t="b">
        <x:v>1</x:v>
      </x:c>
      <x:c r="O99" t="str">
        <x:v>ok</x:v>
      </x:c>
      <x:c r="P99" t="n">
        <x:v>6.34977918300001</x:v>
      </x:c>
      <x:c r="Q99" t="n">
        <x:v>105</x:v>
      </x:c>
      <x:c r="R99" s="42" t="b">
        <x:v>0</x:v>
      </x:c>
      <x:c r="S99" s="42" t="b">
        <x:v>1</x:v>
      </x:c>
      <x:c r="T99" t="n">
        <x:v>1</x:v>
      </x:c>
      <x:c r="U99" t="n">
        <x:v>0</x:v>
      </x:c>
      <x:c r="V99" t="n">
        <x:v>0</x:v>
      </x:c>
      <x:c r="W99" s="42" t="b">
        <x:v>1</x:v>
      </x:c>
      <x:c r="X99" s="42" t="b">
        <x:v>1</x:v>
      </x:c>
      <x:c r="Y99"/>
      <x:c r="Z99" s="42" t="b">
        <x:v>0</x:v>
      </x:c>
      <x:c r="AA99" t="str">
        <x:v>898618b1-3306-11dd-bd11-0800200c9a66</x:v>
      </x:c>
      <x:c r="AB99" t="str">
        <x:v>Sand</x:v>
      </x:c>
    </x:row>
    <x:row r="100">
      <x:c r="A100" t="str">
        <x:v>deepseek</x:v>
      </x:c>
      <x:c r="B100" t="str">
        <x:v>A03</x:v>
      </x:c>
      <x:c r="C100" t="str">
        <x:v>Bamboo House with Attic</x:v>
      </x:c>
      <x:c r="D100" t="str">
        <x:v>Natural Gravel</x:v>
      </x:c>
      <x:c r="E100" t="str">
        <x:v>direct</x:v>
      </x:c>
      <x:c r="F100" s="42" t="b">
        <x:v>0</x:v>
      </x:c>
      <x:c r="G100" t="n">
        <x:v>1</x:v>
      </x:c>
      <x:c r="H100" t="n">
        <x:v>0</x:v>
      </x:c>
      <x:c r="I100" t="str">
        <x:v>Natural Gravel</x:v>
      </x:c>
      <x:c r="J100" t="str">
        <x:v>direct</x:v>
      </x:c>
      <x:c r="K100" t="str">
        <x:v>0deb15f0-518a-11dd-ae16-0800200c9a66</x:v>
      </x:c>
      <x:c r="L100" t="str">
        <x:v>Process steam from natural gas, consumption mix, at plant, heat plant, MJ</x:v>
      </x:c>
      <x:c r="M100" s="42" t="b">
        <x:v>1</x:v>
      </x:c>
      <x:c r="N100" s="42" t="b">
        <x:v>1</x:v>
      </x:c>
      <x:c r="O100" t="str">
        <x:v>ok</x:v>
      </x:c>
      <x:c r="P100" t="n">
        <x:v>7.364236909000283</x:v>
      </x:c>
      <x:c r="Q100" t="n">
        <x:v>141</x:v>
      </x:c>
      <x:c r="R100" s="42" t="b">
        <x:v>0</x:v>
      </x:c>
      <x:c r="S100" s="42" t="b">
        <x:v>0</x:v>
      </x:c>
      <x:c r="T100" t="n">
        <x:v>0.6</x:v>
      </x:c>
      <x:c r="U100" t="n">
        <x:v>0</x:v>
      </x:c>
      <x:c r="V100" t="n">
        <x:v>0</x:v>
      </x:c>
      <x:c r="W100" s="42" t="b">
        <x:v>1</x:v>
      </x:c>
      <x:c r="X100" s="42" t="b">
        <x:v>1</x:v>
      </x:c>
      <x:c r="Y100"/>
      <x:c r="Z100" s="42" t="b">
        <x:v>0</x:v>
      </x:c>
      <x:c r="AA100" t="str">
        <x:v>898618b2-3306-11dd-bd11-0800200c9a66</x:v>
      </x:c>
      <x:c r="AB100" t="str">
        <x:v>Gravel</x:v>
      </x:c>
    </x:row>
    <x:row r="101">
      <x:c r="A101" t="str">
        <x:v>deepseek</x:v>
      </x:c>
      <x:c r="B101" t="str">
        <x:v>A04</x:v>
      </x:c>
      <x:c r="C101" t="str">
        <x:v>Bamboo House with Attic</x:v>
      </x:c>
      <x:c r="D101" t="str">
        <x:v>Soil Blocks</x:v>
      </x:c>
      <x:c r="E101" t="str">
        <x:v>review_required</x:v>
      </x:c>
      <x:c r="F101" s="42" t="b">
        <x:v>1</x:v>
      </x:c>
      <x:c r="G101"/>
      <x:c r="H101"/>
      <x:c r="I101" t="str">
        <x:v>Soil Blocks</x:v>
      </x:c>
      <x:c r="J101" t="str">
        <x:v>proxy</x:v>
      </x:c>
      <x:c r="K101" t="str">
        <x:v>898618b6-3306-11dd-bd11-0800200c9a66</x:v>
      </x:c>
      <x:c r="L101" t="str">
        <x:v>Lightweight concrete block, production mix, at plant, expanded clay as base material</x:v>
      </x:c>
      <x:c r="M101" s="42" t="b">
        <x:v>1</x:v>
      </x:c>
      <x:c r="N101" s="42" t="b">
        <x:v>1</x:v>
      </x:c>
      <x:c r="O101" t="str">
        <x:v>ok</x:v>
      </x:c>
      <x:c r="P101" t="n">
        <x:v>8.171650394000153</x:v>
      </x:c>
      <x:c r="Q101" t="n">
        <x:v>144</x:v>
      </x:c>
      <x:c r="R101" s="42" t="b">
        <x:v>0</x:v>
      </x:c>
      <x:c r="S101" s="42" t="b">
        <x:v>0</x:v>
      </x:c>
      <x:c r="T101" t="n">
        <x:v>0.9524</x:v>
      </x:c>
      <x:c r="U101"/>
      <x:c r="V101"/>
      <x:c r="W101" s="42" t="b">
        <x:v>0</x:v>
      </x:c>
      <x:c r="X101" s="42" t="b">
        <x:v>0</x:v>
      </x:c>
      <x:c r="Y101" t="n">
        <x:v>0</x:v>
      </x:c>
      <x:c r="Z101" s="42" t="b">
        <x:v>0</x:v>
      </x:c>
      <x:c r="AA101"/>
      <x:c r="AB101" t="str">
        <x:v>Soil block</x:v>
      </x:c>
    </x:row>
    <x:row r="102">
      <x:c r="A102" t="str">
        <x:v>deepseek</x:v>
      </x:c>
      <x:c r="B102" t="str">
        <x:v>A05</x:v>
      </x:c>
      <x:c r="C102" t="str">
        <x:v>Bamboo House with Attic</x:v>
      </x:c>
      <x:c r="D102" t="str">
        <x:v>Wood</x:v>
      </x:c>
      <x:c r="E102" t="str">
        <x:v>proxy</x:v>
      </x:c>
      <x:c r="F102" s="42" t="b">
        <x:v>0</x:v>
      </x:c>
      <x:c r="G102" t="n">
        <x:v>1</x:v>
      </x:c>
      <x:c r="H102" t="n">
        <x:v>0</x:v>
      </x:c>
      <x:c r="I102" t="str">
        <x:v>Wood</x:v>
      </x:c>
      <x:c r="J102" t="str">
        <x:v>direct</x:v>
      </x:c>
      <x:c r="K102" t="str">
        <x:v>39f61d7a-9cea-4e61-b292-50ad6ee05ccc</x:v>
      </x:c>
      <x:c r="L102" t="str">
        <x:v>Waste incineration of wood products (OSB, particle board), at plant, average European waste-to-energy plant, without collection, transport and pre-treatment</x:v>
      </x:c>
      <x:c r="M102" s="42" t="b">
        <x:v>1</x:v>
      </x:c>
      <x:c r="N102" s="42" t="b">
        <x:v>1</x:v>
      </x:c>
      <x:c r="O102" t="str">
        <x:v>ok</x:v>
      </x:c>
      <x:c r="P102" t="n">
        <x:v>7.637974269000097</x:v>
      </x:c>
      <x:c r="Q102" t="n">
        <x:v>134</x:v>
      </x:c>
      <x:c r="R102" s="42" t="b">
        <x:v>0</x:v>
      </x:c>
      <x:c r="S102" s="42" t="b">
        <x:v>1</x:v>
      </x:c>
      <x:c r="T102" t="n">
        <x:v>1</x:v>
      </x:c>
      <x:c r="U102" t="n">
        <x:v>0</x:v>
      </x:c>
      <x:c r="V102" t="n">
        <x:v>0</x:v>
      </x:c>
      <x:c r="W102" s="42" t="b">
        <x:v>0</x:v>
      </x:c>
      <x:c r="X102" s="42" t="b">
        <x:v>1</x:v>
      </x:c>
      <x:c r="Y102"/>
      <x:c r="Z102" s="42" t="b">
        <x:v>0</x:v>
      </x:c>
      <x:c r="AA102" t="str">
        <x:v>2b61a4d6-bd1d-4ea3-828c-fdbdf5fca1f9</x:v>
      </x:c>
      <x:c r="AB102" t="str">
        <x:v>Wood</x:v>
      </x:c>
    </x:row>
    <x:row r="103">
      <x:c r="A103" t="str">
        <x:v>deepseek</x:v>
      </x:c>
      <x:c r="B103" t="str">
        <x:v>A06</x:v>
      </x:c>
      <x:c r="C103" t="str">
        <x:v>Bamboo House with Attic</x:v>
      </x:c>
      <x:c r="D103" t="str">
        <x:v>Bamboo</x:v>
      </x:c>
      <x:c r="E103" t="str">
        <x:v>review_required</x:v>
      </x:c>
      <x:c r="F103" s="42" t="b">
        <x:v>1</x:v>
      </x:c>
      <x:c r="G103"/>
      <x:c r="H103"/>
      <x:c r="I103" t="str">
        <x:v>Bamboo</x:v>
      </x:c>
      <x:c r="J103" t="str">
        <x:v>direct</x:v>
      </x:c>
      <x:c r="K103" t="str">
        <x:v>3945fc44-1180-4c6d-bc18-2a37e1a85f80</x:v>
      </x:c>
      <x:c r="L103" t="str">
        <x:v>Compressed air, production mix, 7 bar, low efficiency, high power consumption</x:v>
      </x:c>
      <x:c r="M103" s="42" t="b">
        <x:v>1</x:v>
      </x:c>
      <x:c r="N103" s="42" t="b">
        <x:v>1</x:v>
      </x:c>
      <x:c r="O103" t="str">
        <x:v>ok</x:v>
      </x:c>
      <x:c r="P103" t="n">
        <x:v>7.050765841000157</x:v>
      </x:c>
      <x:c r="Q103" t="n">
        <x:v>139</x:v>
      </x:c>
      <x:c r="R103" s="42" t="b">
        <x:v>0</x:v>
      </x:c>
      <x:c r="S103" s="42" t="b">
        <x:v>1</x:v>
      </x:c>
      <x:c r="T103" t="n">
        <x:v>1</x:v>
      </x:c>
      <x:c r="U103"/>
      <x:c r="V103"/>
      <x:c r="W103" s="42" t="b">
        <x:v>0</x:v>
      </x:c>
      <x:c r="X103" s="42" t="b">
        <x:v>0</x:v>
      </x:c>
      <x:c r="Y103" t="n">
        <x:v>0</x:v>
      </x:c>
      <x:c r="Z103" s="42" t="b">
        <x:v>0</x:v>
      </x:c>
      <x:c r="AA103"/>
      <x:c r="AB103" t="str">
        <x:v>Bamboo</x:v>
      </x:c>
    </x:row>
    <x:row r="104">
      <x:c r="A104" t="str">
        <x:v>deepseek</x:v>
      </x:c>
      <x:c r="B104" t="str">
        <x:v>A07</x:v>
      </x:c>
      <x:c r="C104" t="str">
        <x:v>Bamboo House with Attic</x:v>
      </x:c>
      <x:c r="D104" t="str">
        <x:v>Rebar</x:v>
      </x:c>
      <x:c r="E104" t="str">
        <x:v>direct</x:v>
      </x:c>
      <x:c r="F104" s="42" t="b">
        <x:v>0</x:v>
      </x:c>
      <x:c r="G104" t="n">
        <x:v>1</x:v>
      </x:c>
      <x:c r="H104" t="n">
        <x:v>1</x:v>
      </x:c>
      <x:c r="I104" t="str">
        <x:v>Rebar</x:v>
      </x:c>
      <x:c r="J104" t="str">
        <x:v>direct</x:v>
      </x:c>
      <x:c r="K104" t="str">
        <x:v>3945fc44-1180-4c6d-bc18-2a37e1a85f80</x:v>
      </x:c>
      <x:c r="L104" t="str">
        <x:v>Compressed air, production mix, 7 bar, low efficiency, high power consumption</x:v>
      </x:c>
      <x:c r="M104" s="42" t="b">
        <x:v>1</x:v>
      </x:c>
      <x:c r="N104" s="42" t="b">
        <x:v>1</x:v>
      </x:c>
      <x:c r="O104" t="str">
        <x:v>ok</x:v>
      </x:c>
      <x:c r="P104" t="n">
        <x:v>8.148061517000315</x:v>
      </x:c>
      <x:c r="Q104" t="n">
        <x:v>143</x:v>
      </x:c>
      <x:c r="R104" s="42" t="b">
        <x:v>0</x:v>
      </x:c>
      <x:c r="S104" s="42" t="b">
        <x:v>1</x:v>
      </x:c>
      <x:c r="T104" t="n">
        <x:v>1</x:v>
      </x:c>
      <x:c r="U104" t="n">
        <x:v>0</x:v>
      </x:c>
      <x:c r="V104" t="n">
        <x:v>0</x:v>
      </x:c>
      <x:c r="W104" s="42" t="b">
        <x:v>1</x:v>
      </x:c>
      <x:c r="X104" s="42" t="b">
        <x:v>1</x:v>
      </x:c>
      <x:c r="Y104"/>
      <x:c r="Z104" s="42" t="b">
        <x:v>0</x:v>
      </x:c>
      <x:c r="AA104" t="str">
        <x:v>268a11fb-baf2-4b9e-8867-38bea0e76ef6</x:v>
      </x:c>
      <x:c r="AB104" t="str">
        <x:v>Rebar</x:v>
      </x:c>
    </x:row>
    <x:row r="105">
      <x:c r="A105" t="str">
        <x:v>deepseek</x:v>
      </x:c>
      <x:c r="B105" t="str">
        <x:v>A08</x:v>
      </x:c>
      <x:c r="C105" t="str">
        <x:v>Bamboo House with Attic</x:v>
      </x:c>
      <x:c r="D105" t="str">
        <x:v>Soil</x:v>
      </x:c>
      <x:c r="E105" t="str">
        <x:v>review_required</x:v>
      </x:c>
      <x:c r="F105" s="42" t="b">
        <x:v>1</x:v>
      </x:c>
      <x:c r="G105"/>
      <x:c r="H105"/>
      <x:c r="I105" t="str">
        <x:v>Soil</x:v>
      </x:c>
      <x:c r="J105" t="str">
        <x:v>direct</x:v>
      </x:c>
      <x:c r="K105" t="str">
        <x:v>e3cd6a07-b8b5-46dd-881b-2b77f6c3f27c</x:v>
      </x:c>
      <x:c r="L105" t="str">
        <x:v>Process steam from heavy fuel oil, consumption mix, at plant, heat plant, MJ</x:v>
      </x:c>
      <x:c r="M105" s="42" t="b">
        <x:v>1</x:v>
      </x:c>
      <x:c r="N105" s="42" t="b">
        <x:v>1</x:v>
      </x:c>
      <x:c r="O105" t="str">
        <x:v>ok</x:v>
      </x:c>
      <x:c r="P105" t="n">
        <x:v>7.37481915699982</x:v>
      </x:c>
      <x:c r="Q105" t="n">
        <x:v>143</x:v>
      </x:c>
      <x:c r="R105" s="42" t="b">
        <x:v>0</x:v>
      </x:c>
      <x:c r="S105" s="42" t="b">
        <x:v>1</x:v>
      </x:c>
      <x:c r="T105" t="n">
        <x:v>1</x:v>
      </x:c>
      <x:c r="U105"/>
      <x:c r="V105"/>
      <x:c r="W105" s="42" t="b">
        <x:v>0</x:v>
      </x:c>
      <x:c r="X105" s="42" t="b">
        <x:v>0</x:v>
      </x:c>
      <x:c r="Y105" t="n">
        <x:v>0</x:v>
      </x:c>
      <x:c r="Z105" s="42" t="b">
        <x:v>0</x:v>
      </x:c>
      <x:c r="AA105"/>
      <x:c r="AB105" t="str">
        <x:v>Soil</x:v>
      </x:c>
    </x:row>
    <x:row r="106">
      <x:c r="A106" t="str">
        <x:v>deepseek</x:v>
      </x:c>
      <x:c r="B106" t="str">
        <x:v>A09</x:v>
      </x:c>
      <x:c r="C106" t="str">
        <x:v>Bamboo House with Attic</x:v>
      </x:c>
      <x:c r="D106" t="str">
        <x:v>CGI Sheets</x:v>
      </x:c>
      <x:c r="E106" t="str">
        <x:v>proxy</x:v>
      </x:c>
      <x:c r="F106" s="42" t="b">
        <x:v>0</x:v>
      </x:c>
      <x:c r="G106" t="n">
        <x:v>0</x:v>
      </x:c>
      <x:c r="H106" t="n">
        <x:v>0</x:v>
      </x:c>
      <x:c r="I106" t="str">
        <x:v>cartonboard sheets</x:v>
      </x:c>
      <x:c r="J106" t="str">
        <x:v>direct</x:v>
      </x:c>
      <x:c r="K106" t="str">
        <x:v>54025657-ca8e-1cd4-3330-0000339bcc6d</x:v>
      </x:c>
      <x:c r="L106" t="str">
        <x:v>cartonboard sheets; mixed technology; production mix, at plant; 46% primary fibre, 54% recovered fibre (en)</x:v>
      </x:c>
      <x:c r="M106" s="42" t="b">
        <x:v>1</x:v>
      </x:c>
      <x:c r="N106" s="42" t="b">
        <x:v>1</x:v>
      </x:c>
      <x:c r="O106" t="str">
        <x:v>ok</x:v>
      </x:c>
      <x:c r="P106" t="n">
        <x:v>7.464774749999833</x:v>
      </x:c>
      <x:c r="Q106" t="n">
        <x:v>138</x:v>
      </x:c>
      <x:c r="R106" s="42" t="b">
        <x:v>0</x:v>
      </x:c>
      <x:c r="S106" s="42" t="b">
        <x:v>0</x:v>
      </x:c>
      <x:c r="T106" t="n">
        <x:v>0.4314</x:v>
      </x:c>
      <x:c r="U106" t="n">
        <x:v>0</x:v>
      </x:c>
      <x:c r="V106"/>
      <x:c r="W106" s="42" t="b">
        <x:v>0</x:v>
      </x:c>
      <x:c r="X106" s="42" t="b">
        <x:v>1</x:v>
      </x:c>
      <x:c r="Y106"/>
      <x:c r="Z106" s="42" t="b">
        <x:v>0</x:v>
      </x:c>
      <x:c r="AA106" t="str">
        <x:v>339b2536-c881-409d-ac71-49ab0d228fe3</x:v>
      </x:c>
      <x:c r="AB106" t="str">
        <x:v>Corrugated galvanized steel sheet</x:v>
      </x:c>
    </x:row>
    <x:row r="107">
      <x:c r="A107" t="str">
        <x:v>mistral</x:v>
      </x:c>
      <x:c r="B107" t="str">
        <x:v>S01</x:v>
      </x:c>
      <x:c r="C107" t="str">
        <x:v>Stonecrete House</x:v>
      </x:c>
      <x:c r="D107" t="str">
        <x:v>Ordinary Portland Cement (OPC 43-grade)</x:v>
      </x:c>
      <x:c r="E107" t="str">
        <x:v>direct</x:v>
      </x:c>
      <x:c r="F107" s="42" t="b">
        <x:v>0</x:v>
      </x:c>
      <x:c r="G107" t="n">
        <x:v>1</x:v>
      </x:c>
      <x:c r="H107" t="n">
        <x:v>1</x:v>
      </x:c>
      <x:c r="I107" t="str">
        <x:v>Ordinary Portland Cement</x:v>
      </x:c>
      <x:c r="J107" t="str">
        <x:v>direct</x:v>
      </x:c>
      <x:c r="K107" t="str">
        <x:v>600573dd-dfa5-44e5-b458-8727e793ffd7</x:v>
      </x:c>
      <x:c r="L107" t="str">
        <x:v>Portland cement (CEM I), CEMBUREAU production mix, at plant, CEMBUREAU technology mix, EN 197-1</x:v>
      </x:c>
      <x:c r="M107" s="42" t="b">
        <x:v>1</x:v>
      </x:c>
      <x:c r="N107" s="42" t="b">
        <x:v>1</x:v>
      </x:c>
      <x:c r="O107" t="str">
        <x:v>ok</x:v>
      </x:c>
      <x:c r="P107" t="n">
        <x:v>6.596872214000086</x:v>
      </x:c>
      <x:c r="Q107" t="n">
        <x:v>75</x:v>
      </x:c>
      <x:c r="R107" s="42" t="b">
        <x:v>0</x:v>
      </x:c>
      <x:c r="S107" s="42" t="b">
        <x:v>0</x:v>
      </x:c>
      <x:c r="T107" t="n">
        <x:v>0.4</x:v>
      </x:c>
      <x:c r="U107" t="n">
        <x:v>1</x:v>
      </x:c>
      <x:c r="V107" t="n">
        <x:v>1</x:v>
      </x:c>
      <x:c r="W107" s="42" t="b">
        <x:v>1</x:v>
      </x:c>
      <x:c r="X107" s="42" t="b">
        <x:v>1</x:v>
      </x:c>
      <x:c r="Y107"/>
      <x:c r="Z107" s="42" t="b">
        <x:v>0</x:v>
      </x:c>
      <x:c r="AA107" t="str">
        <x:v>600573dd-dfa5-44e5-b458-8727e793ffd7</x:v>
      </x:c>
      <x:c r="AB107" t="str">
        <x:v>Cement</x:v>
      </x:c>
    </x:row>
    <x:row r="108">
      <x:c r="A108" t="str">
        <x:v>mistral</x:v>
      </x:c>
      <x:c r="B108" t="str">
        <x:v>S02</x:v>
      </x:c>
      <x:c r="C108" t="str">
        <x:v>Stonecrete House</x:v>
      </x:c>
      <x:c r="D108" t="str">
        <x:v>River Sand (clean, well-graded)</x:v>
      </x:c>
      <x:c r="E108" t="str">
        <x:v>direct</x:v>
      </x:c>
      <x:c r="F108" s="42" t="b">
        <x:v>0</x:v>
      </x:c>
      <x:c r="G108" t="n">
        <x:v>1</x:v>
      </x:c>
      <x:c r="H108" t="n">
        <x:v>1</x:v>
      </x:c>
      <x:c r="I108" t="str">
        <x:v>River Sand</x:v>
      </x:c>
      <x:c r="J108" t="str">
        <x:v>proxy</x:v>
      </x:c>
      <x:c r="K108" t="str">
        <x:v>898618b1-3306-11dd-bd11-0800200c9a66</x:v>
      </x:c>
      <x:c r="L108" t="str">
        <x:v>Sand 0/2, production mix, at plant, wet and dry quarry, undried</x:v>
      </x:c>
      <x:c r="M108" s="42" t="b">
        <x:v>1</x:v>
      </x:c>
      <x:c r="N108" s="42" t="b">
        <x:v>1</x:v>
      </x:c>
      <x:c r="O108" t="str">
        <x:v>ok</x:v>
      </x:c>
      <x:c r="P108" t="n">
        <x:v>5.343196692999754</x:v>
      </x:c>
      <x:c r="Q108" t="n">
        <x:v>74</x:v>
      </x:c>
      <x:c r="R108" s="42" t="b">
        <x:v>0</x:v>
      </x:c>
      <x:c r="S108" s="42" t="b">
        <x:v>0</x:v>
      </x:c>
      <x:c r="T108" t="n">
        <x:v>0.5714</x:v>
      </x:c>
      <x:c r="U108" t="n">
        <x:v>1</x:v>
      </x:c>
      <x:c r="V108" t="n">
        <x:v>1</x:v>
      </x:c>
      <x:c r="W108" s="42" t="b">
        <x:v>0</x:v>
      </x:c>
      <x:c r="X108" s="42" t="b">
        <x:v>1</x:v>
      </x:c>
      <x:c r="Y108"/>
      <x:c r="Z108" s="42" t="b">
        <x:v>0</x:v>
      </x:c>
      <x:c r="AA108" t="str">
        <x:v>898618b1-3306-11dd-bd11-0800200c9a66</x:v>
      </x:c>
      <x:c r="AB108" t="str">
        <x:v>Sand</x:v>
      </x:c>
    </x:row>
    <x:row r="109">
      <x:c r="A109" t="str">
        <x:v>mistral</x:v>
      </x:c>
      <x:c r="B109" t="str">
        <x:v>S03</x:v>
      </x:c>
      <x:c r="C109" t="str">
        <x:v>Stonecrete House</x:v>
      </x:c>
      <x:c r="D109" t="str">
        <x:v>Natural Gravel</x:v>
      </x:c>
      <x:c r="E109" t="str">
        <x:v>direct</x:v>
      </x:c>
      <x:c r="F109" s="42" t="b">
        <x:v>0</x:v>
      </x:c>
      <x:c r="G109" t="n">
        <x:v>1</x:v>
      </x:c>
      <x:c r="H109" t="n">
        <x:v>0</x:v>
      </x:c>
      <x:c r="I109" t="str">
        <x:v>Natural Gravel</x:v>
      </x:c>
      <x:c r="J109" t="str">
        <x:v>direct</x:v>
      </x:c>
      <x:c r="K109" t="str">
        <x:v>898618b2-3306-11dd-bd11-0800200c9a66</x:v>
      </x:c>
      <x:c r="L109" t="str">
        <x:v>Gravel 2/32, production mix, at plant, wet and dry quarry, undried</x:v>
      </x:c>
      <x:c r="M109" s="42" t="b">
        <x:v>1</x:v>
      </x:c>
      <x:c r="N109" s="42" t="b">
        <x:v>1</x:v>
      </x:c>
      <x:c r="O109" t="str">
        <x:v>ok</x:v>
      </x:c>
      <x:c r="P109" t="n">
        <x:v>5.44511112400005</x:v>
      </x:c>
      <x:c r="Q109" t="n">
        <x:v>76</x:v>
      </x:c>
      <x:c r="R109" s="42" t="b">
        <x:v>0</x:v>
      </x:c>
      <x:c r="S109" s="42" t="b">
        <x:v>0</x:v>
      </x:c>
      <x:c r="T109" t="n">
        <x:v>0.6</x:v>
      </x:c>
      <x:c r="U109" t="n">
        <x:v>1</x:v>
      </x:c>
      <x:c r="V109" t="n">
        <x:v>1</x:v>
      </x:c>
      <x:c r="W109" s="42" t="b">
        <x:v>1</x:v>
      </x:c>
      <x:c r="X109" s="42" t="b">
        <x:v>1</x:v>
      </x:c>
      <x:c r="Y109"/>
      <x:c r="Z109" s="42" t="b">
        <x:v>0</x:v>
      </x:c>
      <x:c r="AA109" t="str">
        <x:v>898618b2-3306-11dd-bd11-0800200c9a66</x:v>
      </x:c>
      <x:c r="AB109" t="str">
        <x:v>Gravel</x:v>
      </x:c>
    </x:row>
    <x:row r="110">
      <x:c r="A110" t="str">
        <x:v>mistral</x:v>
      </x:c>
      <x:c r="B110" t="str">
        <x:v>S04</x:v>
      </x:c>
      <x:c r="C110" t="str">
        <x:v>Stonecrete House</x:v>
      </x:c>
      <x:c r="D110" t="str">
        <x:v>Stone</x:v>
      </x:c>
      <x:c r="E110" t="str">
        <x:v>proxy</x:v>
      </x:c>
      <x:c r="F110" s="42" t="b">
        <x:v>0</x:v>
      </x:c>
      <x:c r="G110" t="n">
        <x:v>1</x:v>
      </x:c>
      <x:c r="H110" t="n">
        <x:v>0</x:v>
      </x:c>
      <x:c r="I110" t="str">
        <x:v>Crushed Stone</x:v>
      </x:c>
      <x:c r="J110" t="str">
        <x:v>proxy</x:v>
      </x:c>
      <x:c r="K110" t="str">
        <x:v>898618b3-3306-11dd-bd11-0800200c9a66</x:v>
      </x:c>
      <x:c r="L110" t="str">
        <x:v>Crushed stone 16/32, production mix, at plant, open pit mining, undried</x:v>
      </x:c>
      <x:c r="M110" s="42" t="b">
        <x:v>1</x:v>
      </x:c>
      <x:c r="N110" s="42" t="b">
        <x:v>1</x:v>
      </x:c>
      <x:c r="O110" t="str">
        <x:v>ok</x:v>
      </x:c>
      <x:c r="P110" t="n">
        <x:v>9.763252669000394</x:v>
      </x:c>
      <x:c r="Q110" t="n">
        <x:v>140</x:v>
      </x:c>
      <x:c r="R110" s="42" t="b">
        <x:v>0</x:v>
      </x:c>
      <x:c r="S110" s="42" t="b">
        <x:v>0</x:v>
      </x:c>
      <x:c r="T110" t="n">
        <x:v>0.5556</x:v>
      </x:c>
      <x:c r="U110" t="n">
        <x:v>1</x:v>
      </x:c>
      <x:c r="V110" t="n">
        <x:v>1</x:v>
      </x:c>
      <x:c r="W110" s="42" t="b">
        <x:v>1</x:v>
      </x:c>
      <x:c r="X110" s="42" t="b">
        <x:v>1</x:v>
      </x:c>
      <x:c r="Y110"/>
      <x:c r="Z110" s="42" t="b">
        <x:v>0</x:v>
      </x:c>
      <x:c r="AA110" t="str">
        <x:v>898618b3-3306-11dd-bd11-0800200c9a66</x:v>
      </x:c>
      <x:c r="AB110" t="str">
        <x:v>Stone</x:v>
      </x:c>
    </x:row>
    <x:row r="111">
      <x:c r="A111" t="str">
        <x:v>mistral</x:v>
      </x:c>
      <x:c r="B111" t="str">
        <x:v>S05</x:v>
      </x:c>
      <x:c r="C111" t="str">
        <x:v>Stonecrete House</x:v>
      </x:c>
      <x:c r="D111" t="str">
        <x:v>Plain Cement Concrete (PCC M10 — 1:3:6) - Binding Layer</x:v>
      </x:c>
      <x:c r="E111" t="str">
        <x:v>proxy</x:v>
      </x:c>
      <x:c r="F111" s="42" t="b">
        <x:v>0</x:v>
      </x:c>
      <x:c r="G111" t="n">
        <x:v>1</x:v>
      </x:c>
      <x:c r="H111" t="n">
        <x:v>1</x:v>
      </x:c>
      <x:c r="I111" t="str">
        <x:v>Plain Cement Concrete (PCC M10 — 1:3:6)</x:v>
      </x:c>
      <x:c r="J111" t="str">
        <x:v>proxy</x:v>
      </x:c>
      <x:c r="K111" t="str">
        <x:v>600573dd-dfa5-44e5-b458-8727e793ffd7</x:v>
      </x:c>
      <x:c r="L111" t="str">
        <x:v>Portland cement (CEM I), CEMBUREAU production mix, at plant, CEMBUREAU technology mix, EN 197-1</x:v>
      </x:c>
      <x:c r="M111" s="42" t="b">
        <x:v>1</x:v>
      </x:c>
      <x:c r="N111" s="42" t="b">
        <x:v>1</x:v>
      </x:c>
      <x:c r="O111" t="str">
        <x:v>ok</x:v>
      </x:c>
      <x:c r="P111" t="n">
        <x:v>6.179696647000128</x:v>
      </x:c>
      <x:c r="Q111" t="n">
        <x:v>89</x:v>
      </x:c>
      <x:c r="R111" s="42" t="b">
        <x:v>0</x:v>
      </x:c>
      <x:c r="S111" s="42" t="b">
        <x:v>0</x:v>
      </x:c>
      <x:c r="T111" t="n">
        <x:v>0.381</x:v>
      </x:c>
      <x:c r="U111" t="n">
        <x:v>0</x:v>
      </x:c>
      <x:c r="V111" t="n">
        <x:v>0</x:v>
      </x:c>
      <x:c r="W111" s="42" t="b">
        <x:v>1</x:v>
      </x:c>
      <x:c r="X111" s="42" t="b">
        <x:v>1</x:v>
      </x:c>
      <x:c r="Y111"/>
      <x:c r="Z111" s="42" t="b">
        <x:v>0</x:v>
      </x:c>
      <x:c r="AA111" t="str">
        <x:v>898618b0-3306-11dd-bd11-0800200c9a66</x:v>
      </x:c>
      <x:c r="AB111" t="str">
        <x:v>Concrete</x:v>
      </x:c>
    </x:row>
    <x:row r="112">
      <x:c r="A112" t="str">
        <x:v>mistral</x:v>
      </x:c>
      <x:c r="B112" t="str">
        <x:v>S06</x:v>
      </x:c>
      <x:c r="C112" t="str">
        <x:v>Stonecrete House</x:v>
      </x:c>
      <x:c r="D112" t="str">
        <x:v>Stonecrete block</x:v>
      </x:c>
      <x:c r="E112" t="str">
        <x:v>proxy</x:v>
      </x:c>
      <x:c r="F112" s="42" t="b">
        <x:v>0</x:v>
      </x:c>
      <x:c r="G112" t="n">
        <x:v>1</x:v>
      </x:c>
      <x:c r="H112" t="n">
        <x:v>0</x:v>
      </x:c>
      <x:c r="I112" t="str">
        <x:v>Stonecrete block</x:v>
      </x:c>
      <x:c r="J112" t="str">
        <x:v>proxy</x:v>
      </x:c>
      <x:c r="K112" t="str">
        <x:v>898618b6-3306-11dd-bd11-0800200c9a66</x:v>
      </x:c>
      <x:c r="L112" t="str">
        <x:v>Lightweight concrete block, production mix, at plant, expanded clay as base material</x:v>
      </x:c>
      <x:c r="M112" s="42" t="b">
        <x:v>1</x:v>
      </x:c>
      <x:c r="N112" s="42" t="b">
        <x:v>1</x:v>
      </x:c>
      <x:c r="O112" t="str">
        <x:v>ok</x:v>
      </x:c>
      <x:c r="P112" t="n">
        <x:v>7.883221967999816</x:v>
      </x:c>
      <x:c r="Q112" t="n">
        <x:v>111</x:v>
      </x:c>
      <x:c r="R112" s="42" t="b">
        <x:v>0</x:v>
      </x:c>
      <x:c r="S112" s="42" t="b">
        <x:v>1</x:v>
      </x:c>
      <x:c r="T112" t="n">
        <x:v>1</x:v>
      </x:c>
      <x:c r="U112" t="n">
        <x:v>1</x:v>
      </x:c>
      <x:c r="V112" t="n">
        <x:v>1</x:v>
      </x:c>
      <x:c r="W112" s="42" t="b">
        <x:v>1</x:v>
      </x:c>
      <x:c r="X112" s="42" t="b">
        <x:v>1</x:v>
      </x:c>
      <x:c r="Y112"/>
      <x:c r="Z112" s="42" t="b">
        <x:v>1</x:v>
      </x:c>
      <x:c r="AA112" t="str">
        <x:v>898618b6-3306-11dd-bd11-0800200c9a66</x:v>
      </x:c>
      <x:c r="AB112" t="str">
        <x:v>Stonecrete Block</x:v>
      </x:c>
    </x:row>
    <x:row r="113">
      <x:c r="A113" t="str">
        <x:v>mistral</x:v>
      </x:c>
      <x:c r="B113" t="str">
        <x:v>S07</x:v>
      </x:c>
      <x:c r="C113" t="str">
        <x:v>Stonecrete House</x:v>
      </x:c>
      <x:c r="D113" t="str">
        <x:v>Rebar TMT Fe500</x:v>
      </x:c>
      <x:c r="E113" t="str">
        <x:v>direct</x:v>
      </x:c>
      <x:c r="F113" s="42" t="b">
        <x:v>0</x:v>
      </x:c>
      <x:c r="G113" t="n">
        <x:v>1</x:v>
      </x:c>
      <x:c r="H113" t="n">
        <x:v>1</x:v>
      </x:c>
      <x:c r="I113" t="str">
        <x:v>Rebar TMT Fe500</x:v>
      </x:c>
      <x:c r="J113" t="str">
        <x:v>direct</x:v>
      </x:c>
      <x:c r="K113" t="str">
        <x:v>268a11fb-baf2-4b9e-8867-38bea0e76ef6</x:v>
      </x:c>
      <x:c r="L113" t="str">
        <x:v>Steel rebar, production mix, at plant, blast furnace and electric arc furnace route,</x:v>
      </x:c>
      <x:c r="M113" s="42" t="b">
        <x:v>1</x:v>
      </x:c>
      <x:c r="N113" s="42" t="b">
        <x:v>1</x:v>
      </x:c>
      <x:c r="O113" t="str">
        <x:v>ok</x:v>
      </x:c>
      <x:c r="P113" t="n">
        <x:v>5.401370615999895</x:v>
      </x:c>
      <x:c r="Q113" t="n">
        <x:v>77</x:v>
      </x:c>
      <x:c r="R113" s="42" t="b">
        <x:v>0</x:v>
      </x:c>
      <x:c r="S113" s="42" t="b">
        <x:v>0</x:v>
      </x:c>
      <x:c r="T113" t="n">
        <x:v>0.5</x:v>
      </x:c>
      <x:c r="U113" t="n">
        <x:v>1</x:v>
      </x:c>
      <x:c r="V113" t="n">
        <x:v>1</x:v>
      </x:c>
      <x:c r="W113" s="42" t="b">
        <x:v>1</x:v>
      </x:c>
      <x:c r="X113" s="42" t="b">
        <x:v>1</x:v>
      </x:c>
      <x:c r="Y113"/>
      <x:c r="Z113" s="42" t="b">
        <x:v>0</x:v>
      </x:c>
      <x:c r="AA113" t="str">
        <x:v>268a11fb-baf2-4b9e-8867-38bea0e76ef6</x:v>
      </x:c>
      <x:c r="AB113" t="str">
        <x:v>Rebar</x:v>
      </x:c>
    </x:row>
    <x:row r="114">
      <x:c r="A114" t="str">
        <x:v>mistral</x:v>
      </x:c>
      <x:c r="B114" t="str">
        <x:v>S08</x:v>
      </x:c>
      <x:c r="C114" t="str">
        <x:v>Stonecrete House</x:v>
      </x:c>
      <x:c r="D114" t="str">
        <x:v>Binding Wire (soft annealed, 18-gauge)</x:v>
      </x:c>
      <x:c r="E114" t="str">
        <x:v>proxy</x:v>
      </x:c>
      <x:c r="F114" s="42" t="b">
        <x:v>0</x:v>
      </x:c>
      <x:c r="G114" t="n">
        <x:v>0</x:v>
      </x:c>
      <x:c r="H114" t="n">
        <x:v>0</x:v>
      </x:c>
      <x:c r="I114" t="str">
        <x:v>18-gauge soft annealed binding wire</x:v>
      </x:c>
      <x:c r="J114" t="str">
        <x:v>proxy</x:v>
      </x:c>
      <x:c r="K114" t="str">
        <x:v>819e60d3-2652-47de-9f0b-d3bf8a4e0ea9</x:v>
      </x:c>
      <x:c r="L114" t="str">
        <x:v>Copper wire; technology mix; market mix, at plant; cross section 1 mm, Technology and Market Mix for Wire fabrication representing main European production countries, Market Mix for Copper cathode in Europe (primary and secondary Cu cathode production...</x:v>
      </x:c>
      <x:c r="M114" s="42" t="b">
        <x:v>1</x:v>
      </x:c>
      <x:c r="N114" s="42" t="b">
        <x:v>1</x:v>
      </x:c>
      <x:c r="O114" t="str">
        <x:v>ok</x:v>
      </x:c>
      <x:c r="P114" t="n">
        <x:v>8.411827578000157</x:v>
      </x:c>
      <x:c r="Q114" t="n">
        <x:v>116</x:v>
      </x:c>
      <x:c r="R114" s="42" t="b">
        <x:v>0</x:v>
      </x:c>
      <x:c r="S114" s="42" t="b">
        <x:v>0</x:v>
      </x:c>
      <x:c r="T114" t="n">
        <x:v>0.6415</x:v>
      </x:c>
      <x:c r="U114" t="n">
        <x:v>0</x:v>
      </x:c>
      <x:c r="V114"/>
      <x:c r="W114" s="42" t="b">
        <x:v>1</x:v>
      </x:c>
      <x:c r="X114" s="42" t="b">
        <x:v>1</x:v>
      </x:c>
      <x:c r="Y114"/>
      <x:c r="Z114" s="42" t="b">
        <x:v>0</x:v>
      </x:c>
      <x:c r="AA114" t="str">
        <x:v>09d61948-238a-40e7-8e1f-afdc0c98f902</x:v>
      </x:c>
      <x:c r="AB114" t="str">
        <x:v>Steel binding wire</x:v>
      </x:c>
    </x:row>
    <x:row r="115">
      <x:c r="A115" t="str">
        <x:v>mistral</x:v>
      </x:c>
      <x:c r="B115" t="str">
        <x:v>S09</x:v>
      </x:c>
      <x:c r="C115" t="str">
        <x:v>Stonecrete House</x:v>
      </x:c>
      <x:c r="D115" t="str">
        <x:v>Corrugated Galvanized Iron (CGI) Sheet, 0.45 mm BMT</x:v>
      </x:c>
      <x:c r="E115" t="str">
        <x:v>proxy</x:v>
      </x:c>
      <x:c r="F115" s="42" t="b">
        <x:v>0</x:v>
      </x:c>
      <x:c r="G115" t="n">
        <x:v>1</x:v>
      </x:c>
      <x:c r="H115" t="n">
        <x:v>0</x:v>
      </x:c>
      <x:c r="I115" t="str">
        <x:v>Corrugated Galvanized Iron Sheet</x:v>
      </x:c>
      <x:c r="J115" t="str">
        <x:v>proxy</x:v>
      </x:c>
      <x:c r="K115" t="str">
        <x:v>339b2536-c881-409d-ac71-49ab0d228fe3</x:v>
      </x:c>
      <x:c r="L115" t="str">
        <x:v>Steel hot dip galvanized (ILCD), production mix, at plant, blast furnace route, 1kg, typical thickness between 0.3 - 3 mm. typical width between 600 - 2100 mm.</x:v>
      </x:c>
      <x:c r="M115" s="42" t="b">
        <x:v>1</x:v>
      </x:c>
      <x:c r="N115" s="42" t="b">
        <x:v>1</x:v>
      </x:c>
      <x:c r="O115" t="str">
        <x:v>ok</x:v>
      </x:c>
      <x:c r="P115" t="n">
        <x:v>8.347878379000122</x:v>
      </x:c>
      <x:c r="Q115" t="n">
        <x:v>115</x:v>
      </x:c>
      <x:c r="R115" s="42" t="b">
        <x:v>0</x:v>
      </x:c>
      <x:c r="S115" s="42" t="b">
        <x:v>0</x:v>
      </x:c>
      <x:c r="T115" t="n">
        <x:v>0.8615</x:v>
      </x:c>
      <x:c r="U115" t="n">
        <x:v>1</x:v>
      </x:c>
      <x:c r="V115" t="n">
        <x:v>1</x:v>
      </x:c>
      <x:c r="W115" s="42" t="b">
        <x:v>1</x:v>
      </x:c>
      <x:c r="X115" s="42" t="b">
        <x:v>1</x:v>
      </x:c>
      <x:c r="Y115"/>
      <x:c r="Z115" s="42" t="b">
        <x:v>0</x:v>
      </x:c>
      <x:c r="AA115" t="str">
        <x:v>339b2536-c881-409d-ac71-49ab0d228fe3</x:v>
      </x:c>
      <x:c r="AB115" t="str">
        <x:v>Corrugated galvanized steel sheet</x:v>
      </x:c>
    </x:row>
    <x:row r="116">
      <x:c r="A116" t="str">
        <x:v>mistral</x:v>
      </x:c>
      <x:c r="B116" t="str">
        <x:v>S10</x:v>
      </x:c>
      <x:c r="C116" t="str">
        <x:v>Stonecrete House</x:v>
      </x:c>
      <x:c r="D116" t="str">
        <x:v>Timber for purlin, rafter, and column post</x:v>
      </x:c>
      <x:c r="E116" t="str">
        <x:v>proxy</x:v>
      </x:c>
      <x:c r="F116" s="42" t="b">
        <x:v>0</x:v>
      </x:c>
      <x:c r="G116" t="n">
        <x:v>1</x:v>
      </x:c>
      <x:c r="H116" t="n">
        <x:v>0</x:v>
      </x:c>
      <x:c r="I116" t="str">
        <x:v>Spruce or Pine Timber</x:v>
      </x:c>
      <x:c r="J116" t="str">
        <x:v>proxy</x:v>
      </x:c>
      <x:c r="K116" t="str">
        <x:v>2b61a4d6-bd1d-4ea3-828c-fdbdf5fca1f9</x:v>
      </x:c>
      <x:c r="L116" t="str">
        <x:v>Spruce wood, production mix, at saw mill, timber, 40% water content</x:v>
      </x:c>
      <x:c r="M116" s="42" t="b">
        <x:v>1</x:v>
      </x:c>
      <x:c r="N116" s="42" t="b">
        <x:v>1</x:v>
      </x:c>
      <x:c r="O116" t="str">
        <x:v>ok</x:v>
      </x:c>
      <x:c r="P116" t="n">
        <x:v>7.428469772999961</x:v>
      </x:c>
      <x:c r="Q116" t="n">
        <x:v>111</x:v>
      </x:c>
      <x:c r="R116" s="42" t="b">
        <x:v>0</x:v>
      </x:c>
      <x:c r="S116" s="42" t="b">
        <x:v>0</x:v>
      </x:c>
      <x:c r="T116" t="n">
        <x:v>0.4444</x:v>
      </x:c>
      <x:c r="U116" t="n">
        <x:v>1</x:v>
      </x:c>
      <x:c r="V116" t="n">
        <x:v>1</x:v>
      </x:c>
      <x:c r="W116" s="42" t="b">
        <x:v>1</x:v>
      </x:c>
      <x:c r="X116" s="42" t="b">
        <x:v>1</x:v>
      </x:c>
      <x:c r="Y116"/>
      <x:c r="Z116" s="42" t="b">
        <x:v>0</x:v>
      </x:c>
      <x:c r="AA116" t="str">
        <x:v>2b61a4d6-bd1d-4ea3-828c-fdbdf5fca1f9</x:v>
      </x:c>
      <x:c r="AB116" t="str">
        <x:v>Timber</x:v>
      </x:c>
    </x:row>
    <x:row r="117">
      <x:c r="A117" t="str">
        <x:v>mistral</x:v>
      </x:c>
      <x:c r="B117" t="str">
        <x:v>S11</x:v>
      </x:c>
      <x:c r="C117" t="str">
        <x:v>Stonecrete House</x:v>
      </x:c>
      <x:c r="D117" t="str">
        <x:v>Plaster 1:4 — External Walls, 15 mm thick</x:v>
      </x:c>
      <x:c r="E117" t="str">
        <x:v>review_required</x:v>
      </x:c>
      <x:c r="F117" s="42" t="b">
        <x:v>1</x:v>
      </x:c>
      <x:c r="G117"/>
      <x:c r="H117"/>
      <x:c r="I117" t="str">
        <x:v>Plaster 1:4</x:v>
      </x:c>
      <x:c r="J117" t="str">
        <x:v>proxy</x:v>
      </x:c>
      <x:c r="K117" t="str">
        <x:v>da78eea3-ead1-4379-80af-14a991a2a746</x:v>
      </x:c>
      <x:c r="L117" t="str">
        <x:v>Porocalce plaster production, Production mix at plant - Southern Italy, Porocalce plaster - Milling and mixing of sand, perlite, expanded glass, calcium hydroxide, 1 kg, Plaster</x:v>
      </x:c>
      <x:c r="M117" s="42" t="b">
        <x:v>1</x:v>
      </x:c>
      <x:c r="N117" s="42" t="b">
        <x:v>1</x:v>
      </x:c>
      <x:c r="O117" t="str">
        <x:v>ok</x:v>
      </x:c>
      <x:c r="P117" t="n">
        <x:v>8.19847672700007</x:v>
      </x:c>
      <x:c r="Q117" t="n">
        <x:v>110</x:v>
      </x:c>
      <x:c r="R117" s="42" t="b">
        <x:v>0</x:v>
      </x:c>
      <x:c r="S117" s="42" t="b">
        <x:v>0</x:v>
      </x:c>
      <x:c r="T117" t="n">
        <x:v>0.4828</x:v>
      </x:c>
      <x:c r="U117"/>
      <x:c r="V117"/>
      <x:c r="W117" s="42" t="b">
        <x:v>0</x:v>
      </x:c>
      <x:c r="X117" s="42" t="b">
        <x:v>0</x:v>
      </x:c>
      <x:c r="Y117" t="n">
        <x:v>0</x:v>
      </x:c>
      <x:c r="Z117" s="42" t="b">
        <x:v>0</x:v>
      </x:c>
      <x:c r="AA117"/>
      <x:c r="AB117" t="str">
        <x:v>Cement-sand plaster</x:v>
      </x:c>
    </x:row>
    <x:row r="118">
      <x:c r="A118" t="str">
        <x:v>mistral</x:v>
      </x:c>
      <x:c r="B118" t="str">
        <x:v>S12</x:v>
      </x:c>
      <x:c r="C118" t="str">
        <x:v>Stonecrete House</x:v>
      </x:c>
      <x:c r="D118" t="str">
        <x:v>Plaster 1:6 — Internal Walls, 12 mm thick</x:v>
      </x:c>
      <x:c r="E118" t="str">
        <x:v>review_required</x:v>
      </x:c>
      <x:c r="F118" s="42" t="b">
        <x:v>1</x:v>
      </x:c>
      <x:c r="G118"/>
      <x:c r="H118"/>
      <x:c r="I118" t="str">
        <x:v>Gypsum plaster</x:v>
      </x:c>
      <x:c r="J118" t="str">
        <x:v>direct</x:v>
      </x:c>
      <x:c r="K118" t="str">
        <x:v>cc39e70e-4a40-42b6-89e3-7305f0b95dc4</x:v>
      </x:c>
      <x:c r="L118" t="str">
        <x:v>Gypsum plasterboard, production mix at factory, technology mix of plasterboard production, 12.5 mm thick, 10kg/m2</x:v>
      </x:c>
      <x:c r="M118" s="42" t="b">
        <x:v>1</x:v>
      </x:c>
      <x:c r="N118" s="42" t="b">
        <x:v>1</x:v>
      </x:c>
      <x:c r="O118" t="str">
        <x:v>ok</x:v>
      </x:c>
      <x:c r="P118" t="n">
        <x:v>5.756053345000055</x:v>
      </x:c>
      <x:c r="Q118" t="n">
        <x:v>77</x:v>
      </x:c>
      <x:c r="R118" s="42" t="b">
        <x:v>0</x:v>
      </x:c>
      <x:c r="S118" s="42" t="b">
        <x:v>0</x:v>
      </x:c>
      <x:c r="T118" t="n">
        <x:v>0.5455</x:v>
      </x:c>
      <x:c r="U118"/>
      <x:c r="V118"/>
      <x:c r="W118" s="42" t="b">
        <x:v>0</x:v>
      </x:c>
      <x:c r="X118" s="42" t="b">
        <x:v>0</x:v>
      </x:c>
      <x:c r="Y118" t="n">
        <x:v>0</x:v>
      </x:c>
      <x:c r="Z118" s="42" t="b">
        <x:v>0</x:v>
      </x:c>
      <x:c r="AA118"/>
      <x:c r="AB118" t="str">
        <x:v>Cement-sand plaster</x:v>
      </x:c>
    </x:row>
    <x:row r="119">
      <x:c r="A119" t="str">
        <x:v>mistral</x:v>
      </x:c>
      <x:c r="B119" t="str">
        <x:v>B01</x:v>
      </x:c>
      <x:c r="C119" t="str">
        <x:v>Bamboo House</x:v>
      </x:c>
      <x:c r="D119" t="str">
        <x:v>Cement</x:v>
      </x:c>
      <x:c r="E119" t="str">
        <x:v>direct</x:v>
      </x:c>
      <x:c r="F119" s="42" t="b">
        <x:v>0</x:v>
      </x:c>
      <x:c r="G119" t="n">
        <x:v>1</x:v>
      </x:c>
      <x:c r="H119" t="n">
        <x:v>1</x:v>
      </x:c>
      <x:c r="I119" t="str">
        <x:v>Cement</x:v>
      </x:c>
      <x:c r="J119" t="str">
        <x:v>proxy</x:v>
      </x:c>
      <x:c r="K119" t="str">
        <x:v>600573dd-dfa5-44e5-b458-8727e793ffd7</x:v>
      </x:c>
      <x:c r="L119" t="str">
        <x:v>Portland cement (CEM I), CEMBUREAU production mix, at plant, CEMBUREAU technology mix, EN 197-1</x:v>
      </x:c>
      <x:c r="M119" s="42" t="b">
        <x:v>1</x:v>
      </x:c>
      <x:c r="N119" s="42" t="b">
        <x:v>1</x:v>
      </x:c>
      <x:c r="O119" t="str">
        <x:v>ok</x:v>
      </x:c>
      <x:c r="P119" t="n">
        <x:v>8.146914039999956</x:v>
      </x:c>
      <x:c r="Q119" t="n">
        <x:v>108</x:v>
      </x:c>
      <x:c r="R119" s="42" t="b">
        <x:v>0</x:v>
      </x:c>
      <x:c r="S119" s="42" t="b">
        <x:v>1</x:v>
      </x:c>
      <x:c r="T119" t="n">
        <x:v>1</x:v>
      </x:c>
      <x:c r="U119" t="n">
        <x:v>1</x:v>
      </x:c>
      <x:c r="V119" t="n">
        <x:v>1</x:v>
      </x:c>
      <x:c r="W119" s="42" t="b">
        <x:v>0</x:v>
      </x:c>
      <x:c r="X119" s="42" t="b">
        <x:v>1</x:v>
      </x:c>
      <x:c r="Y119"/>
      <x:c r="Z119" s="42" t="b">
        <x:v>0</x:v>
      </x:c>
      <x:c r="AA119" t="str">
        <x:v>600573dd-dfa5-44e5-b458-8727e793ffd7</x:v>
      </x:c>
      <x:c r="AB119" t="str">
        <x:v>Cement</x:v>
      </x:c>
    </x:row>
    <x:row r="120">
      <x:c r="A120" t="str">
        <x:v>mistral</x:v>
      </x:c>
      <x:c r="B120" t="str">
        <x:v>B02</x:v>
      </x:c>
      <x:c r="C120" t="str">
        <x:v>Bamboo House</x:v>
      </x:c>
      <x:c r="D120" t="str">
        <x:v>Sand</x:v>
      </x:c>
      <x:c r="E120" t="str">
        <x:v>direct</x:v>
      </x:c>
      <x:c r="F120" s="42" t="b">
        <x:v>0</x:v>
      </x:c>
      <x:c r="G120" t="n">
        <x:v>1</x:v>
      </x:c>
      <x:c r="H120" t="n">
        <x:v>1</x:v>
      </x:c>
      <x:c r="I120" t="str">
        <x:v>Silica sand</x:v>
      </x:c>
      <x:c r="J120" t="str">
        <x:v>proxy</x:v>
      </x:c>
      <x:c r="K120" t="str">
        <x:v>898618b1-3306-11dd-bd11-0800200c9a66</x:v>
      </x:c>
      <x:c r="L120" t="str">
        <x:v>Sand 0/2, production mix, at plant, wet and dry quarry, undried</x:v>
      </x:c>
      <x:c r="M120" s="42" t="b">
        <x:v>1</x:v>
      </x:c>
      <x:c r="N120" s="42" t="b">
        <x:v>1</x:v>
      </x:c>
      <x:c r="O120" t="str">
        <x:v>ok</x:v>
      </x:c>
      <x:c r="P120" t="n">
        <x:v>5.570662352999989</x:v>
      </x:c>
      <x:c r="Q120" t="n">
        <x:v>74</x:v>
      </x:c>
      <x:c r="R120" s="42" t="b">
        <x:v>0</x:v>
      </x:c>
      <x:c r="S120" s="42" t="b">
        <x:v>0</x:v>
      </x:c>
      <x:c r="T120" t="n">
        <x:v>0.5333</x:v>
      </x:c>
      <x:c r="U120" t="n">
        <x:v>1</x:v>
      </x:c>
      <x:c r="V120" t="n">
        <x:v>1</x:v>
      </x:c>
      <x:c r="W120" s="42" t="b">
        <x:v>0</x:v>
      </x:c>
      <x:c r="X120" s="42" t="b">
        <x:v>1</x:v>
      </x:c>
      <x:c r="Y120"/>
      <x:c r="Z120" s="42" t="b">
        <x:v>0</x:v>
      </x:c>
      <x:c r="AA120" t="str">
        <x:v>898618b1-3306-11dd-bd11-0800200c9a66</x:v>
      </x:c>
      <x:c r="AB120" t="str">
        <x:v>Sand</x:v>
      </x:c>
    </x:row>
    <x:row r="121">
      <x:c r="A121" t="str">
        <x:v>mistral</x:v>
      </x:c>
      <x:c r="B121" t="str">
        <x:v>B03</x:v>
      </x:c>
      <x:c r="C121" t="str">
        <x:v>Bamboo House</x:v>
      </x:c>
      <x:c r="D121" t="str">
        <x:v>Natural Gravel</x:v>
      </x:c>
      <x:c r="E121" t="str">
        <x:v>direct</x:v>
      </x:c>
      <x:c r="F121" s="42" t="b">
        <x:v>0</x:v>
      </x:c>
      <x:c r="G121" t="n">
        <x:v>1</x:v>
      </x:c>
      <x:c r="H121" t="n">
        <x:v>0</x:v>
      </x:c>
      <x:c r="I121" t="str">
        <x:v>Natural Gravel</x:v>
      </x:c>
      <x:c r="J121" t="str">
        <x:v>proxy</x:v>
      </x:c>
      <x:c r="K121" t="str">
        <x:v>898618b2-3306-11dd-bd11-0800200c9a66</x:v>
      </x:c>
      <x:c r="L121" t="str">
        <x:v>Gravel 2/32, production mix, at plant, wet and dry quarry, undried</x:v>
      </x:c>
      <x:c r="M121" s="42" t="b">
        <x:v>1</x:v>
      </x:c>
      <x:c r="N121" s="42" t="b">
        <x:v>1</x:v>
      </x:c>
      <x:c r="O121" t="str">
        <x:v>ok</x:v>
      </x:c>
      <x:c r="P121" t="n">
        <x:v>9.921802825999748</x:v>
      </x:c>
      <x:c r="Q121" t="n">
        <x:v>146</x:v>
      </x:c>
      <x:c r="R121" s="42" t="b">
        <x:v>0</x:v>
      </x:c>
      <x:c r="S121" s="42" t="b">
        <x:v>0</x:v>
      </x:c>
      <x:c r="T121" t="n">
        <x:v>0.6</x:v>
      </x:c>
      <x:c r="U121" t="n">
        <x:v>1</x:v>
      </x:c>
      <x:c r="V121" t="n">
        <x:v>1</x:v>
      </x:c>
      <x:c r="W121" s="42" t="b">
        <x:v>0</x:v>
      </x:c>
      <x:c r="X121" s="42" t="b">
        <x:v>1</x:v>
      </x:c>
      <x:c r="Y121"/>
      <x:c r="Z121" s="42" t="b">
        <x:v>0</x:v>
      </x:c>
      <x:c r="AA121" t="str">
        <x:v>898618b2-3306-11dd-bd11-0800200c9a66</x:v>
      </x:c>
      <x:c r="AB121" t="str">
        <x:v>Gravel</x:v>
      </x:c>
    </x:row>
    <x:row r="122">
      <x:c r="A122" t="str">
        <x:v>mistral</x:v>
      </x:c>
      <x:c r="B122" t="str">
        <x:v>B04</x:v>
      </x:c>
      <x:c r="C122" t="str">
        <x:v>Bamboo House</x:v>
      </x:c>
      <x:c r="D122" t="str">
        <x:v>Stone</x:v>
      </x:c>
      <x:c r="E122" t="str">
        <x:v>proxy</x:v>
      </x:c>
      <x:c r="F122" s="42" t="b">
        <x:v>0</x:v>
      </x:c>
      <x:c r="G122" t="n">
        <x:v>1</x:v>
      </x:c>
      <x:c r="H122" t="n">
        <x:v>0</x:v>
      </x:c>
      <x:c r="I122" t="str">
        <x:v>Stone</x:v>
      </x:c>
      <x:c r="J122" t="str">
        <x:v>direct</x:v>
      </x:c>
      <x:c r="K122" t="str">
        <x:v>898618b3-3306-11dd-bd11-0800200c9a66</x:v>
      </x:c>
      <x:c r="L122" t="str">
        <x:v>Crushed stone 16/32, production mix, at plant, open pit mining, undried</x:v>
      </x:c>
      <x:c r="M122" s="42" t="b">
        <x:v>1</x:v>
      </x:c>
      <x:c r="N122" s="42" t="b">
        <x:v>1</x:v>
      </x:c>
      <x:c r="O122" t="str">
        <x:v>ok</x:v>
      </x:c>
      <x:c r="P122" t="n">
        <x:v>8.320785359000183</x:v>
      </x:c>
      <x:c r="Q122" t="n">
        <x:v>111</x:v>
      </x:c>
      <x:c r="R122" s="42" t="b">
        <x:v>0</x:v>
      </x:c>
      <x:c r="S122" s="42" t="b">
        <x:v>1</x:v>
      </x:c>
      <x:c r="T122" t="n">
        <x:v>1</x:v>
      </x:c>
      <x:c r="U122" t="n">
        <x:v>1</x:v>
      </x:c>
      <x:c r="V122" t="n">
        <x:v>1</x:v>
      </x:c>
      <x:c r="W122" s="42" t="b">
        <x:v>0</x:v>
      </x:c>
      <x:c r="X122" s="42" t="b">
        <x:v>1</x:v>
      </x:c>
      <x:c r="Y122"/>
      <x:c r="Z122" s="42" t="b">
        <x:v>0</x:v>
      </x:c>
      <x:c r="AA122" t="str">
        <x:v>898618b3-3306-11dd-bd11-0800200c9a66</x:v>
      </x:c>
      <x:c r="AB122" t="str">
        <x:v>Stone</x:v>
      </x:c>
    </x:row>
    <x:row r="123">
      <x:c r="A123" t="str">
        <x:v>mistral</x:v>
      </x:c>
      <x:c r="B123" t="str">
        <x:v>B05</x:v>
      </x:c>
      <x:c r="C123" t="str">
        <x:v>Bamboo House</x:v>
      </x:c>
      <x:c r="D123" t="str">
        <x:v>Soil</x:v>
      </x:c>
      <x:c r="E123" t="str">
        <x:v>review_required</x:v>
      </x:c>
      <x:c r="F123" s="42" t="b">
        <x:v>1</x:v>
      </x:c>
      <x:c r="G123"/>
      <x:c r="H123"/>
      <x:c r="I123" t="str">
        <x:v>Soil</x:v>
      </x:c>
      <x:c r="J123" t="str">
        <x:v>review_required</x:v>
      </x:c>
      <x:c r="K123"/>
      <x:c r="L123"/>
      <x:c r="M123" s="42" t="b">
        <x:v>0</x:v>
      </x:c>
      <x:c r="N123" s="42" t="b">
        <x:v>0</x:v>
      </x:c>
      <x:c r="O123" t="str">
        <x:v>invalid_ranking</x:v>
      </x:c>
      <x:c r="P123" t="n">
        <x:v>3.507187282999894</x:v>
      </x:c>
      <x:c r="Q123" t="n">
        <x:v>44</x:v>
      </x:c>
      <x:c r="R123" s="42" t="b">
        <x:v>0</x:v>
      </x:c>
      <x:c r="S123" s="42" t="b">
        <x:v>1</x:v>
      </x:c>
      <x:c r="T123" t="n">
        <x:v>1</x:v>
      </x:c>
      <x:c r="U123"/>
      <x:c r="V123"/>
      <x:c r="W123" s="42" t="b">
        <x:v>1</x:v>
      </x:c>
      <x:c r="X123" s="42" t="b">
        <x:v>1</x:v>
      </x:c>
      <x:c r="Y123" t="n">
        <x:v>1</x:v>
      </x:c>
      <x:c r="Z123" s="42" t="b">
        <x:v>1</x:v>
      </x:c>
      <x:c r="AA123"/>
      <x:c r="AB123" t="str">
        <x:v>Soil</x:v>
      </x:c>
    </x:row>
    <x:row r="124">
      <x:c r="A124" t="str">
        <x:v>mistral</x:v>
      </x:c>
      <x:c r="B124" t="str">
        <x:v>B06</x:v>
      </x:c>
      <x:c r="C124" t="str">
        <x:v>Bamboo House</x:v>
      </x:c>
      <x:c r="D124" t="str">
        <x:v>Local Wood</x:v>
      </x:c>
      <x:c r="E124" t="str">
        <x:v>proxy</x:v>
      </x:c>
      <x:c r="F124" s="42" t="b">
        <x:v>0</x:v>
      </x:c>
      <x:c r="G124" t="n">
        <x:v>1</x:v>
      </x:c>
      <x:c r="H124" t="n">
        <x:v>0</x:v>
      </x:c>
      <x:c r="I124" t="str">
        <x:v>Wood</x:v>
      </x:c>
      <x:c r="J124" t="str">
        <x:v>direct</x:v>
      </x:c>
      <x:c r="K124" t="str">
        <x:v>2b61a4d6-bd1d-4ea3-828c-fdbdf5fca1f9</x:v>
      </x:c>
      <x:c r="L124" t="str">
        <x:v>Spruce wood, production mix, at saw mill, timber, 40% water content</x:v>
      </x:c>
      <x:c r="M124" s="42" t="b">
        <x:v>1</x:v>
      </x:c>
      <x:c r="N124" s="42" t="b">
        <x:v>1</x:v>
      </x:c>
      <x:c r="O124" t="str">
        <x:v>ok</x:v>
      </x:c>
      <x:c r="P124" t="n">
        <x:v>7.7597340479997</x:v>
      </x:c>
      <x:c r="Q124" t="n">
        <x:v>105</x:v>
      </x:c>
      <x:c r="R124" s="42" t="b">
        <x:v>0</x:v>
      </x:c>
      <x:c r="S124" s="42" t="b">
        <x:v>1</x:v>
      </x:c>
      <x:c r="T124" t="n">
        <x:v>1</x:v>
      </x:c>
      <x:c r="U124" t="n">
        <x:v>1</x:v>
      </x:c>
      <x:c r="V124" t="n">
        <x:v>1</x:v>
      </x:c>
      <x:c r="W124" s="42" t="b">
        <x:v>0</x:v>
      </x:c>
      <x:c r="X124" s="42" t="b">
        <x:v>1</x:v>
      </x:c>
      <x:c r="Y124"/>
      <x:c r="Z124" s="42" t="b">
        <x:v>0</x:v>
      </x:c>
      <x:c r="AA124" t="str">
        <x:v>2b61a4d6-bd1d-4ea3-828c-fdbdf5fca1f9</x:v>
      </x:c>
      <x:c r="AB124" t="str">
        <x:v>Wood</x:v>
      </x:c>
    </x:row>
    <x:row r="125">
      <x:c r="A125" t="str">
        <x:v>mistral</x:v>
      </x:c>
      <x:c r="B125" t="str">
        <x:v>B07</x:v>
      </x:c>
      <x:c r="C125" t="str">
        <x:v>Bamboo House</x:v>
      </x:c>
      <x:c r="D125" t="str">
        <x:v>19mm Plywood</x:v>
      </x:c>
      <x:c r="E125" t="str">
        <x:v>proxy</x:v>
      </x:c>
      <x:c r="F125" s="42" t="b">
        <x:v>0</x:v>
      </x:c>
      <x:c r="G125" t="n">
        <x:v>0</x:v>
      </x:c>
      <x:c r="H125" t="n">
        <x:v>0</x:v>
      </x:c>
      <x:c r="I125" t="str">
        <x:v>19mm Plywood</x:v>
      </x:c>
      <x:c r="J125" t="str">
        <x:v>proxy</x:v>
      </x:c>
      <x:c r="K125" t="str">
        <x:v>9cdee12d-29bf-4621-87d9-52ebbef06070</x:v>
      </x:c>
      <x:c r="L125" t="str">
        <x:v>Dummy_Wooden pallet (EURO)</x:v>
      </x:c>
      <x:c r="M125" s="42" t="b">
        <x:v>1</x:v>
      </x:c>
      <x:c r="N125" s="42" t="b">
        <x:v>1</x:v>
      </x:c>
      <x:c r="O125" t="str">
        <x:v>ok</x:v>
      </x:c>
      <x:c r="P125" t="n">
        <x:v>7.300613746000181</x:v>
      </x:c>
      <x:c r="Q125" t="n">
        <x:v>110</x:v>
      </x:c>
      <x:c r="R125" s="42" t="b">
        <x:v>0</x:v>
      </x:c>
      <x:c r="S125" s="42" t="b">
        <x:v>0</x:v>
      </x:c>
      <x:c r="T125" t="n">
        <x:v>0.7368</x:v>
      </x:c>
      <x:c r="U125" t="n">
        <x:v>0</x:v>
      </x:c>
      <x:c r="V125"/>
      <x:c r="W125" s="42" t="b">
        <x:v>1</x:v>
      </x:c>
      <x:c r="X125" s="42" t="b">
        <x:v>1</x:v>
      </x:c>
      <x:c r="Y125"/>
      <x:c r="Z125" s="42" t="b">
        <x:v>0</x:v>
      </x:c>
      <x:c r="AA125" t="str">
        <x:v>f7e0f0fd-fb6b-40b5-9300-bddba423e084</x:v>
      </x:c>
      <x:c r="AB125" t="str">
        <x:v>Plywood</x:v>
      </x:c>
    </x:row>
    <x:row r="126">
      <x:c r="A126" t="str">
        <x:v>mistral</x:v>
      </x:c>
      <x:c r="B126" t="str">
        <x:v>B08</x:v>
      </x:c>
      <x:c r="C126" t="str">
        <x:v>Bamboo House</x:v>
      </x:c>
      <x:c r="D126" t="str">
        <x:v>Nail</x:v>
      </x:c>
      <x:c r="E126" t="str">
        <x:v>proxy</x:v>
      </x:c>
      <x:c r="F126" s="42" t="b">
        <x:v>0</x:v>
      </x:c>
      <x:c r="G126" t="n">
        <x:v>0</x:v>
      </x:c>
      <x:c r="H126" t="n">
        <x:v>0</x:v>
      </x:c>
      <x:c r="I126" t="str">
        <x:v>Nail</x:v>
      </x:c>
      <x:c r="J126" t="str">
        <x:v>proxy</x:v>
      </x:c>
      <x:c r="K126" t="str">
        <x:v>9d66aabb-906f-45f6-b3f3-6d002cae096d</x:v>
      </x:c>
      <x:c r="L126" t="str">
        <x:v>Rail transport, technology mix, electricity driven, cargo</x:v>
      </x:c>
      <x:c r="M126" s="42" t="b">
        <x:v>1</x:v>
      </x:c>
      <x:c r="N126" s="42" t="b">
        <x:v>1</x:v>
      </x:c>
      <x:c r="O126" t="str">
        <x:v>ok</x:v>
      </x:c>
      <x:c r="P126" t="n">
        <x:v>7.626412746999904</x:v>
      </x:c>
      <x:c r="Q126" t="n">
        <x:v>107</x:v>
      </x:c>
      <x:c r="R126" s="42" t="b">
        <x:v>0</x:v>
      </x:c>
      <x:c r="S126" s="42" t="b">
        <x:v>0</x:v>
      </x:c>
      <x:c r="T126" t="n">
        <x:v>0.5714</x:v>
      </x:c>
      <x:c r="U126" t="n">
        <x:v>0</x:v>
      </x:c>
      <x:c r="V126"/>
      <x:c r="W126" s="42" t="b">
        <x:v>1</x:v>
      </x:c>
      <x:c r="X126" s="42" t="b">
        <x:v>1</x:v>
      </x:c>
      <x:c r="Y126"/>
      <x:c r="Z126" s="42" t="b">
        <x:v>0</x:v>
      </x:c>
      <x:c r="AA126" t="str">
        <x:v>09d61948-238a-40e7-8e1f-afdc0c98f902</x:v>
      </x:c>
      <x:c r="AB126" t="str">
        <x:v>Steel nail</x:v>
      </x:c>
    </x:row>
    <x:row r="127">
      <x:c r="A127" t="str">
        <x:v>mistral</x:v>
      </x:c>
      <x:c r="B127" t="str">
        <x:v>B09</x:v>
      </x:c>
      <x:c r="C127" t="str">
        <x:v>Bamboo House</x:v>
      </x:c>
      <x:c r="D127" t="str">
        <x:v>10mm Rebar</x:v>
      </x:c>
      <x:c r="E127" t="str">
        <x:v>direct</x:v>
      </x:c>
      <x:c r="F127" s="42" t="b">
        <x:v>0</x:v>
      </x:c>
      <x:c r="G127" t="n">
        <x:v>1</x:v>
      </x:c>
      <x:c r="H127" t="n">
        <x:v>1</x:v>
      </x:c>
      <x:c r="I127" t="str">
        <x:v>10mm Rebar</x:v>
      </x:c>
      <x:c r="J127" t="str">
        <x:v>proxy</x:v>
      </x:c>
      <x:c r="K127" t="str">
        <x:v>268a11fb-baf2-4b9e-8867-38bea0e76ef6</x:v>
      </x:c>
      <x:c r="L127" t="str">
        <x:v>Steel rebar, production mix, at plant, blast furnace and electric arc furnace route,</x:v>
      </x:c>
      <x:c r="M127" s="42" t="b">
        <x:v>1</x:v>
      </x:c>
      <x:c r="N127" s="42" t="b">
        <x:v>1</x:v>
      </x:c>
      <x:c r="O127" t="str">
        <x:v>ok</x:v>
      </x:c>
      <x:c r="P127" t="n">
        <x:v>7.725637918000302</x:v>
      </x:c>
      <x:c r="Q127" t="n">
        <x:v>109</x:v>
      </x:c>
      <x:c r="R127" s="42" t="b">
        <x:v>0</x:v>
      </x:c>
      <x:c r="S127" s="42" t="b">
        <x:v>0</x:v>
      </x:c>
      <x:c r="T127" t="n">
        <x:v>0.6667</x:v>
      </x:c>
      <x:c r="U127" t="n">
        <x:v>1</x:v>
      </x:c>
      <x:c r="V127" t="n">
        <x:v>1</x:v>
      </x:c>
      <x:c r="W127" s="42" t="b">
        <x:v>0</x:v>
      </x:c>
      <x:c r="X127" s="42" t="b">
        <x:v>1</x:v>
      </x:c>
      <x:c r="Y127"/>
      <x:c r="Z127" s="42" t="b">
        <x:v>0</x:v>
      </x:c>
      <x:c r="AA127" t="str">
        <x:v>268a11fb-baf2-4b9e-8867-38bea0e76ef6</x:v>
      </x:c>
      <x:c r="AB127" t="str">
        <x:v>Rebar</x:v>
      </x:c>
    </x:row>
    <x:row r="128">
      <x:c r="A128" t="str">
        <x:v>mistral</x:v>
      </x:c>
      <x:c r="B128" t="str">
        <x:v>B10</x:v>
      </x:c>
      <x:c r="C128" t="str">
        <x:v>Bamboo House</x:v>
      </x:c>
      <x:c r="D128" t="str">
        <x:v>7mm Rebar</x:v>
      </x:c>
      <x:c r="E128" t="str">
        <x:v>direct</x:v>
      </x:c>
      <x:c r="F128" s="42" t="b">
        <x:v>0</x:v>
      </x:c>
      <x:c r="G128" t="n">
        <x:v>1</x:v>
      </x:c>
      <x:c r="H128" t="n">
        <x:v>1</x:v>
      </x:c>
      <x:c r="I128" t="str">
        <x:v>7mm Rebar</x:v>
      </x:c>
      <x:c r="J128" t="str">
        <x:v>proxy</x:v>
      </x:c>
      <x:c r="K128" t="str">
        <x:v>3945fc44-1180-4c6d-bc18-2a37e1a85f80</x:v>
      </x:c>
      <x:c r="L128" t="str">
        <x:v>Compressed air, production mix, 7 bar, low efficiency, high power consumption</x:v>
      </x:c>
      <x:c r="M128" s="42" t="b">
        <x:v>1</x:v>
      </x:c>
      <x:c r="N128" s="42" t="b">
        <x:v>1</x:v>
      </x:c>
      <x:c r="O128" t="str">
        <x:v>ok</x:v>
      </x:c>
      <x:c r="P128" t="n">
        <x:v>7.513988791999964</x:v>
      </x:c>
      <x:c r="Q128" t="n">
        <x:v>111</x:v>
      </x:c>
      <x:c r="R128" s="42" t="b">
        <x:v>0</x:v>
      </x:c>
      <x:c r="S128" s="42" t="b">
        <x:v>0</x:v>
      </x:c>
      <x:c r="T128" t="n">
        <x:v>0.7143</x:v>
      </x:c>
      <x:c r="U128" t="n">
        <x:v>0</x:v>
      </x:c>
      <x:c r="V128" t="n">
        <x:v>0</x:v>
      </x:c>
      <x:c r="W128" s="42" t="b">
        <x:v>0</x:v>
      </x:c>
      <x:c r="X128" s="42" t="b">
        <x:v>1</x:v>
      </x:c>
      <x:c r="Y128"/>
      <x:c r="Z128" s="42" t="b">
        <x:v>0</x:v>
      </x:c>
      <x:c r="AA128" t="str">
        <x:v>268a11fb-baf2-4b9e-8867-38bea0e76ef6</x:v>
      </x:c>
      <x:c r="AB128" t="str">
        <x:v>Rebar</x:v>
      </x:c>
    </x:row>
    <x:row r="129">
      <x:c r="A129" t="str">
        <x:v>mistral</x:v>
      </x:c>
      <x:c r="B129" t="str">
        <x:v>B11</x:v>
      </x:c>
      <x:c r="C129" t="str">
        <x:v>Bamboo House</x:v>
      </x:c>
      <x:c r="D129" t="str">
        <x:v>Binding Wire</x:v>
      </x:c>
      <x:c r="E129" t="str">
        <x:v>proxy</x:v>
      </x:c>
      <x:c r="F129" s="42" t="b">
        <x:v>0</x:v>
      </x:c>
      <x:c r="G129" t="n">
        <x:v>0</x:v>
      </x:c>
      <x:c r="H129" t="n">
        <x:v>0</x:v>
      </x:c>
      <x:c r="I129" t="str">
        <x:v>Copper Wire</x:v>
      </x:c>
      <x:c r="J129" t="str">
        <x:v>proxy</x:v>
      </x:c>
      <x:c r="K129" t="str">
        <x:v>11bceac4-b3d8-4048-8e80-b691ecd2c261</x:v>
      </x:c>
      <x:c r="L129" t="str">
        <x:v>Copper wire, consumption mix, at plant, technology mix, cross section 1 mmy</x:v>
      </x:c>
      <x:c r="M129" s="42" t="b">
        <x:v>1</x:v>
      </x:c>
      <x:c r="N129" s="42" t="b">
        <x:v>1</x:v>
      </x:c>
      <x:c r="O129" t="str">
        <x:v>ok</x:v>
      </x:c>
      <x:c r="P129" t="n">
        <x:v>8.063421459999972</x:v>
      </x:c>
      <x:c r="Q129" t="n">
        <x:v>108</x:v>
      </x:c>
      <x:c r="R129" s="42" t="b">
        <x:v>0</x:v>
      </x:c>
      <x:c r="S129" s="42" t="b">
        <x:v>0</x:v>
      </x:c>
      <x:c r="T129" t="n">
        <x:v>0.4138</x:v>
      </x:c>
      <x:c r="U129" t="n">
        <x:v>0</x:v>
      </x:c>
      <x:c r="V129"/>
      <x:c r="W129" s="42" t="b">
        <x:v>1</x:v>
      </x:c>
      <x:c r="X129" s="42" t="b">
        <x:v>1</x:v>
      </x:c>
      <x:c r="Y129"/>
      <x:c r="Z129" s="42" t="b">
        <x:v>0</x:v>
      </x:c>
      <x:c r="AA129" t="str">
        <x:v>09d61948-238a-40e7-8e1f-afdc0c98f902</x:v>
      </x:c>
      <x:c r="AB129" t="str">
        <x:v>Steel binding wire</x:v>
      </x:c>
    </x:row>
    <x:row r="130">
      <x:c r="A130" t="str">
        <x:v>mistral</x:v>
      </x:c>
      <x:c r="B130" t="str">
        <x:v>B12</x:v>
      </x:c>
      <x:c r="C130" t="str">
        <x:v>Bamboo House</x:v>
      </x:c>
      <x:c r="D130" t="str">
        <x:v>24 Gauge CGI Sheets</x:v>
      </x:c>
      <x:c r="E130" t="str">
        <x:v>proxy</x:v>
      </x:c>
      <x:c r="F130" s="42" t="b">
        <x:v>0</x:v>
      </x:c>
      <x:c r="G130" t="n">
        <x:v>0</x:v>
      </x:c>
      <x:c r="H130" t="n">
        <x:v>0</x:v>
      </x:c>
      <x:c r="I130" t="str">
        <x:v>24 Gauge CGI Sheets</x:v>
      </x:c>
      <x:c r="J130" t="str">
        <x:v>proxy</x:v>
      </x:c>
      <x:c r="K130" t="str">
        <x:v>7311da1a-673f-96b5-66ef-00004409928e</x:v>
      </x:c>
      <x:c r="L130" t="str">
        <x:v>corrugated board sheets, production mix, at plant, technology mix, 18% primary fibre, 82 % recycled fibre</x:v>
      </x:c>
      <x:c r="M130" s="42" t="b">
        <x:v>1</x:v>
      </x:c>
      <x:c r="N130" s="42" t="b">
        <x:v>1</x:v>
      </x:c>
      <x:c r="O130" t="str">
        <x:v>ok</x:v>
      </x:c>
      <x:c r="P130" t="n">
        <x:v>7.870193381999798</x:v>
      </x:c>
      <x:c r="Q130" t="n">
        <x:v>114</x:v>
      </x:c>
      <x:c r="R130" s="42" t="b">
        <x:v>0</x:v>
      </x:c>
      <x:c r="S130" s="42" t="b">
        <x:v>0</x:v>
      </x:c>
      <x:c r="T130" t="n">
        <x:v>0.4615</x:v>
      </x:c>
      <x:c r="U130" t="n">
        <x:v>0</x:v>
      </x:c>
      <x:c r="V130"/>
      <x:c r="W130" s="42" t="b">
        <x:v>1</x:v>
      </x:c>
      <x:c r="X130" s="42" t="b">
        <x:v>1</x:v>
      </x:c>
      <x:c r="Y130"/>
      <x:c r="Z130" s="42" t="b">
        <x:v>0</x:v>
      </x:c>
      <x:c r="AA130" t="str">
        <x:v>339b2536-c881-409d-ac71-49ab0d228fe3</x:v>
      </x:c>
      <x:c r="AB130" t="str">
        <x:v>Corrugated galvanized steel sheet</x:v>
      </x:c>
    </x:row>
    <x:row r="131">
      <x:c r="A131" t="str">
        <x:v>mistral</x:v>
      </x:c>
      <x:c r="B131" t="str">
        <x:v>B13</x:v>
      </x:c>
      <x:c r="C131" t="str">
        <x:v>Bamboo House</x:v>
      </x:c>
      <x:c r="D131" t="str">
        <x:v>3mm Commercial Plywood</x:v>
      </x:c>
      <x:c r="E131" t="str">
        <x:v>proxy</x:v>
      </x:c>
      <x:c r="F131" s="42" t="b">
        <x:v>0</x:v>
      </x:c>
      <x:c r="G131" t="n">
        <x:v>0</x:v>
      </x:c>
      <x:c r="H131" t="n">
        <x:v>0</x:v>
      </x:c>
      <x:c r="I131" t="str">
        <x:v>Commercial Plywood</x:v>
      </x:c>
      <x:c r="J131" t="str">
        <x:v>proxy</x:v>
      </x:c>
      <x:c r="K131" t="str">
        <x:v>9cdee12d-29bf-4621-87d9-52ebbef06070</x:v>
      </x:c>
      <x:c r="L131" t="str">
        <x:v>Dummy_Wooden pallet (EURO)</x:v>
      </x:c>
      <x:c r="M131" s="42" t="b">
        <x:v>1</x:v>
      </x:c>
      <x:c r="N131" s="42" t="b">
        <x:v>1</x:v>
      </x:c>
      <x:c r="O131" t="str">
        <x:v>ok</x:v>
      </x:c>
      <x:c r="P131" t="n">
        <x:v>7.473564661000182</x:v>
      </x:c>
      <x:c r="Q131" t="n">
        <x:v>108</x:v>
      </x:c>
      <x:c r="R131" s="42" t="b">
        <x:v>0</x:v>
      </x:c>
      <x:c r="S131" s="42" t="b">
        <x:v>0</x:v>
      </x:c>
      <x:c r="T131" t="n">
        <x:v>0.56</x:v>
      </x:c>
      <x:c r="U131" t="n">
        <x:v>0</x:v>
      </x:c>
      <x:c r="V131"/>
      <x:c r="W131" s="42" t="b">
        <x:v>1</x:v>
      </x:c>
      <x:c r="X131" s="42" t="b">
        <x:v>1</x:v>
      </x:c>
      <x:c r="Y131"/>
      <x:c r="Z131" s="42" t="b">
        <x:v>0</x:v>
      </x:c>
      <x:c r="AA131" t="str">
        <x:v>f7e0f0fd-fb6b-40b5-9300-bddba423e084</x:v>
      </x:c>
      <x:c r="AB131" t="str">
        <x:v>Plywood</x:v>
      </x:c>
    </x:row>
    <x:row r="132">
      <x:c r="A132" t="str">
        <x:v>mistral</x:v>
      </x:c>
      <x:c r="B132" t="str">
        <x:v>B14</x:v>
      </x:c>
      <x:c r="C132" t="str">
        <x:v>Bamboo House</x:v>
      </x:c>
      <x:c r="D132" t="str">
        <x:v>Bamboo</x:v>
      </x:c>
      <x:c r="E132" t="str">
        <x:v>review_required</x:v>
      </x:c>
      <x:c r="F132" s="42" t="b">
        <x:v>1</x:v>
      </x:c>
      <x:c r="G132"/>
      <x:c r="H132"/>
      <x:c r="I132" t="str">
        <x:v>Bamboo</x:v>
      </x:c>
      <x:c r="J132" t="str">
        <x:v>proxy</x:v>
      </x:c>
      <x:c r="K132" t="str">
        <x:v>abde7f80-2c33-48e2-8a66-4084c7dd0384</x:v>
      </x:c>
      <x:c r="L132" t="str">
        <x:v>Compressed air, production mix, 10 bar, high efficiency, low power consumption</x:v>
      </x:c>
      <x:c r="M132" s="42" t="b">
        <x:v>1</x:v>
      </x:c>
      <x:c r="N132" s="42" t="b">
        <x:v>1</x:v>
      </x:c>
      <x:c r="O132" t="str">
        <x:v>ok</x:v>
      </x:c>
      <x:c r="P132" t="n">
        <x:v>7.842301315999975</x:v>
      </x:c>
      <x:c r="Q132" t="n">
        <x:v>107</x:v>
      </x:c>
      <x:c r="R132" s="42" t="b">
        <x:v>0</x:v>
      </x:c>
      <x:c r="S132" s="42" t="b">
        <x:v>1</x:v>
      </x:c>
      <x:c r="T132" t="n">
        <x:v>1</x:v>
      </x:c>
      <x:c r="U132"/>
      <x:c r="V132"/>
      <x:c r="W132" s="42" t="b">
        <x:v>0</x:v>
      </x:c>
      <x:c r="X132" s="42" t="b">
        <x:v>0</x:v>
      </x:c>
      <x:c r="Y132" t="n">
        <x:v>0</x:v>
      </x:c>
      <x:c r="Z132" s="42" t="b">
        <x:v>0</x:v>
      </x:c>
      <x:c r="AA132"/>
      <x:c r="AB132" t="str">
        <x:v>Bamboo</x:v>
      </x:c>
    </x:row>
    <x:row r="133">
      <x:c r="A133" t="str">
        <x:v>mistral</x:v>
      </x:c>
      <x:c r="B133" t="str">
        <x:v>A01</x:v>
      </x:c>
      <x:c r="C133" t="str">
        <x:v>Bamboo House with Attic</x:v>
      </x:c>
      <x:c r="D133" t="str">
        <x:v>Cement</x:v>
      </x:c>
      <x:c r="E133" t="str">
        <x:v>direct</x:v>
      </x:c>
      <x:c r="F133" s="42" t="b">
        <x:v>0</x:v>
      </x:c>
      <x:c r="G133" t="n">
        <x:v>1</x:v>
      </x:c>
      <x:c r="H133" t="n">
        <x:v>1</x:v>
      </x:c>
      <x:c r="I133" t="str">
        <x:v>Cement</x:v>
      </x:c>
      <x:c r="J133" t="str">
        <x:v>direct</x:v>
      </x:c>
      <x:c r="K133" t="str">
        <x:v>600573dd-dfa5-44e5-b458-8727e793ffd7</x:v>
      </x:c>
      <x:c r="L133" t="str">
        <x:v>Portland cement (CEM I), CEMBUREAU production mix, at plant, CEMBUREAU technology mix, EN 197-1</x:v>
      </x:c>
      <x:c r="M133" s="42" t="b">
        <x:v>1</x:v>
      </x:c>
      <x:c r="N133" s="42" t="b">
        <x:v>1</x:v>
      </x:c>
      <x:c r="O133" t="str">
        <x:v>ok</x:v>
      </x:c>
      <x:c r="P133" t="n">
        <x:v>5.269782506999945</x:v>
      </x:c>
      <x:c r="Q133" t="n">
        <x:v>72</x:v>
      </x:c>
      <x:c r="R133" s="42" t="b">
        <x:v>0</x:v>
      </x:c>
      <x:c r="S133" s="42" t="b">
        <x:v>1</x:v>
      </x:c>
      <x:c r="T133" t="n">
        <x:v>1</x:v>
      </x:c>
      <x:c r="U133" t="n">
        <x:v>1</x:v>
      </x:c>
      <x:c r="V133" t="n">
        <x:v>1</x:v>
      </x:c>
      <x:c r="W133" s="42" t="b">
        <x:v>1</x:v>
      </x:c>
      <x:c r="X133" s="42" t="b">
        <x:v>1</x:v>
      </x:c>
      <x:c r="Y133"/>
      <x:c r="Z133" s="42" t="b">
        <x:v>1</x:v>
      </x:c>
      <x:c r="AA133" t="str">
        <x:v>600573dd-dfa5-44e5-b458-8727e793ffd7</x:v>
      </x:c>
      <x:c r="AB133" t="str">
        <x:v>Cement</x:v>
      </x:c>
    </x:row>
    <x:row r="134">
      <x:c r="A134" t="str">
        <x:v>mistral</x:v>
      </x:c>
      <x:c r="B134" t="str">
        <x:v>A02</x:v>
      </x:c>
      <x:c r="C134" t="str">
        <x:v>Bamboo House with Attic</x:v>
      </x:c>
      <x:c r="D134" t="str">
        <x:v>Sand</x:v>
      </x:c>
      <x:c r="E134" t="str">
        <x:v>direct</x:v>
      </x:c>
      <x:c r="F134" s="42" t="b">
        <x:v>0</x:v>
      </x:c>
      <x:c r="G134" t="n">
        <x:v>1</x:v>
      </x:c>
      <x:c r="H134" t="n">
        <x:v>1</x:v>
      </x:c>
      <x:c r="I134" t="str">
        <x:v>Silica Sand</x:v>
      </x:c>
      <x:c r="J134" t="str">
        <x:v>proxy</x:v>
      </x:c>
      <x:c r="K134" t="str">
        <x:v>b81d1e8f-5a19-483a-8077-4799839ecf26</x:v>
      </x:c>
      <x:c r="L134" t="str">
        <x:v>Very fine milled silica sand d50 = 20 micrometer, at plant, Production, median diameter of silica sand grains is 20 micrometers</x:v>
      </x:c>
      <x:c r="M134" s="42" t="b">
        <x:v>1</x:v>
      </x:c>
      <x:c r="N134" s="42" t="b">
        <x:v>1</x:v>
      </x:c>
      <x:c r="O134" t="str">
        <x:v>ok</x:v>
      </x:c>
      <x:c r="P134" t="n">
        <x:v>6.019841137000185</x:v>
      </x:c>
      <x:c r="Q134" t="n">
        <x:v>75</x:v>
      </x:c>
      <x:c r="R134" s="42" t="b">
        <x:v>0</x:v>
      </x:c>
      <x:c r="S134" s="42" t="b">
        <x:v>0</x:v>
      </x:c>
      <x:c r="T134" t="n">
        <x:v>0.5333</x:v>
      </x:c>
      <x:c r="U134" t="n">
        <x:v>0</x:v>
      </x:c>
      <x:c r="V134" t="n">
        <x:v>0</x:v>
      </x:c>
      <x:c r="W134" s="42" t="b">
        <x:v>0</x:v>
      </x:c>
      <x:c r="X134" s="42" t="b">
        <x:v>1</x:v>
      </x:c>
      <x:c r="Y134"/>
      <x:c r="Z134" s="42" t="b">
        <x:v>0</x:v>
      </x:c>
      <x:c r="AA134" t="str">
        <x:v>898618b1-3306-11dd-bd11-0800200c9a66</x:v>
      </x:c>
      <x:c r="AB134" t="str">
        <x:v>Sand</x:v>
      </x:c>
    </x:row>
    <x:row r="135">
      <x:c r="A135" t="str">
        <x:v>mistral</x:v>
      </x:c>
      <x:c r="B135" t="str">
        <x:v>A03</x:v>
      </x:c>
      <x:c r="C135" t="str">
        <x:v>Bamboo House with Attic</x:v>
      </x:c>
      <x:c r="D135" t="str">
        <x:v>Natural Gravel</x:v>
      </x:c>
      <x:c r="E135" t="str">
        <x:v>direct</x:v>
      </x:c>
      <x:c r="F135" s="42" t="b">
        <x:v>0</x:v>
      </x:c>
      <x:c r="G135" t="n">
        <x:v>1</x:v>
      </x:c>
      <x:c r="H135" t="n">
        <x:v>0</x:v>
      </x:c>
      <x:c r="I135" t="str">
        <x:v>Natural Gravel</x:v>
      </x:c>
      <x:c r="J135" t="str">
        <x:v>direct</x:v>
      </x:c>
      <x:c r="K135" t="str">
        <x:v>898618b2-3306-11dd-bd11-0800200c9a66</x:v>
      </x:c>
      <x:c r="L135" t="str">
        <x:v>Gravel 2/32, production mix, at plant, wet and dry quarry, undried</x:v>
      </x:c>
      <x:c r="M135" s="42" t="b">
        <x:v>1</x:v>
      </x:c>
      <x:c r="N135" s="42" t="b">
        <x:v>1</x:v>
      </x:c>
      <x:c r="O135" t="str">
        <x:v>ok</x:v>
      </x:c>
      <x:c r="P135" t="n">
        <x:v>5.473516114999711</x:v>
      </x:c>
      <x:c r="Q135" t="n">
        <x:v>76</x:v>
      </x:c>
      <x:c r="R135" s="42" t="b">
        <x:v>0</x:v>
      </x:c>
      <x:c r="S135" s="42" t="b">
        <x:v>0</x:v>
      </x:c>
      <x:c r="T135" t="n">
        <x:v>0.6</x:v>
      </x:c>
      <x:c r="U135" t="n">
        <x:v>1</x:v>
      </x:c>
      <x:c r="V135" t="n">
        <x:v>1</x:v>
      </x:c>
      <x:c r="W135" s="42" t="b">
        <x:v>1</x:v>
      </x:c>
      <x:c r="X135" s="42" t="b">
        <x:v>1</x:v>
      </x:c>
      <x:c r="Y135"/>
      <x:c r="Z135" s="42" t="b">
        <x:v>0</x:v>
      </x:c>
      <x:c r="AA135" t="str">
        <x:v>898618b2-3306-11dd-bd11-0800200c9a66</x:v>
      </x:c>
      <x:c r="AB135" t="str">
        <x:v>Gravel</x:v>
      </x:c>
    </x:row>
    <x:row r="136">
      <x:c r="A136" t="str">
        <x:v>mistral</x:v>
      </x:c>
      <x:c r="B136" t="str">
        <x:v>A04</x:v>
      </x:c>
      <x:c r="C136" t="str">
        <x:v>Bamboo House with Attic</x:v>
      </x:c>
      <x:c r="D136" t="str">
        <x:v>Soil Blocks</x:v>
      </x:c>
      <x:c r="E136" t="str">
        <x:v>review_required</x:v>
      </x:c>
      <x:c r="F136" s="42" t="b">
        <x:v>1</x:v>
      </x:c>
      <x:c r="G136"/>
      <x:c r="H136"/>
      <x:c r="I136" t="str">
        <x:v>Soil Blocks</x:v>
      </x:c>
      <x:c r="J136" t="str">
        <x:v>proxy</x:v>
      </x:c>
      <x:c r="K136" t="str">
        <x:v>898618b6-3306-11dd-bd11-0800200c9a66</x:v>
      </x:c>
      <x:c r="L136" t="str">
        <x:v>Lightweight concrete block, production mix, at plant, expanded clay as base material</x:v>
      </x:c>
      <x:c r="M136" s="42" t="b">
        <x:v>1</x:v>
      </x:c>
      <x:c r="N136" s="42" t="b">
        <x:v>1</x:v>
      </x:c>
      <x:c r="O136" t="str">
        <x:v>ok</x:v>
      </x:c>
      <x:c r="P136" t="n">
        <x:v>8.20575388799989</x:v>
      </x:c>
      <x:c r="Q136" t="n">
        <x:v>111</x:v>
      </x:c>
      <x:c r="R136" s="42" t="b">
        <x:v>0</x:v>
      </x:c>
      <x:c r="S136" s="42" t="b">
        <x:v>0</x:v>
      </x:c>
      <x:c r="T136" t="n">
        <x:v>0.9524</x:v>
      </x:c>
      <x:c r="U136"/>
      <x:c r="V136"/>
      <x:c r="W136" s="42" t="b">
        <x:v>0</x:v>
      </x:c>
      <x:c r="X136" s="42" t="b">
        <x:v>0</x:v>
      </x:c>
      <x:c r="Y136" t="n">
        <x:v>0</x:v>
      </x:c>
      <x:c r="Z136" s="42" t="b">
        <x:v>0</x:v>
      </x:c>
      <x:c r="AA136"/>
      <x:c r="AB136" t="str">
        <x:v>Soil block</x:v>
      </x:c>
    </x:row>
    <x:row r="137">
      <x:c r="A137" t="str">
        <x:v>mistral</x:v>
      </x:c>
      <x:c r="B137" t="str">
        <x:v>A05</x:v>
      </x:c>
      <x:c r="C137" t="str">
        <x:v>Bamboo House with Attic</x:v>
      </x:c>
      <x:c r="D137" t="str">
        <x:v>Wood</x:v>
      </x:c>
      <x:c r="E137" t="str">
        <x:v>proxy</x:v>
      </x:c>
      <x:c r="F137" s="42" t="b">
        <x:v>0</x:v>
      </x:c>
      <x:c r="G137" t="n">
        <x:v>1</x:v>
      </x:c>
      <x:c r="H137" t="n">
        <x:v>0</x:v>
      </x:c>
      <x:c r="I137" t="str">
        <x:v>Wood</x:v>
      </x:c>
      <x:c r="J137" t="str">
        <x:v>direct</x:v>
      </x:c>
      <x:c r="K137" t="str">
        <x:v>621e64d0-f471-4023-9ebc-a52cd8ee573f</x:v>
      </x:c>
      <x:c r="L137" t="str">
        <x:v>Pine wood, production mix, at saw mill, timber, 40% water content</x:v>
      </x:c>
      <x:c r="M137" s="42" t="b">
        <x:v>1</x:v>
      </x:c>
      <x:c r="N137" s="42" t="b">
        <x:v>1</x:v>
      </x:c>
      <x:c r="O137" t="str">
        <x:v>ok</x:v>
      </x:c>
      <x:c r="P137" t="n">
        <x:v>7.086782905000291</x:v>
      </x:c>
      <x:c r="Q137" t="n">
        <x:v>105</x:v>
      </x:c>
      <x:c r="R137" s="42" t="b">
        <x:v>0</x:v>
      </x:c>
      <x:c r="S137" s="42" t="b">
        <x:v>1</x:v>
      </x:c>
      <x:c r="T137" t="n">
        <x:v>1</x:v>
      </x:c>
      <x:c r="U137" t="n">
        <x:v>0</x:v>
      </x:c>
      <x:c r="V137" t="n">
        <x:v>0</x:v>
      </x:c>
      <x:c r="W137" s="42" t="b">
        <x:v>0</x:v>
      </x:c>
      <x:c r="X137" s="42" t="b">
        <x:v>1</x:v>
      </x:c>
      <x:c r="Y137"/>
      <x:c r="Z137" s="42" t="b">
        <x:v>0</x:v>
      </x:c>
      <x:c r="AA137" t="str">
        <x:v>2b61a4d6-bd1d-4ea3-828c-fdbdf5fca1f9</x:v>
      </x:c>
      <x:c r="AB137" t="str">
        <x:v>Wood</x:v>
      </x:c>
    </x:row>
    <x:row r="138">
      <x:c r="A138" t="str">
        <x:v>mistral</x:v>
      </x:c>
      <x:c r="B138" t="str">
        <x:v>A06</x:v>
      </x:c>
      <x:c r="C138" t="str">
        <x:v>Bamboo House with Attic</x:v>
      </x:c>
      <x:c r="D138" t="str">
        <x:v>Bamboo</x:v>
      </x:c>
      <x:c r="E138" t="str">
        <x:v>review_required</x:v>
      </x:c>
      <x:c r="F138" s="42" t="b">
        <x:v>1</x:v>
      </x:c>
      <x:c r="G138"/>
      <x:c r="H138"/>
      <x:c r="I138" t="str">
        <x:v>Bamboo</x:v>
      </x:c>
      <x:c r="J138" t="str">
        <x:v>proxy</x:v>
      </x:c>
      <x:c r="K138" t="str">
        <x:v>3945fc44-1180-4c6d-bc18-2a37e1a85f80</x:v>
      </x:c>
      <x:c r="L138" t="str">
        <x:v>Compressed air, production mix, 7 bar, low efficiency, high power consumption</x:v>
      </x:c>
      <x:c r="M138" s="42" t="b">
        <x:v>1</x:v>
      </x:c>
      <x:c r="N138" s="42" t="b">
        <x:v>1</x:v>
      </x:c>
      <x:c r="O138" t="str">
        <x:v>ok</x:v>
      </x:c>
      <x:c r="P138" t="n">
        <x:v>7.850113904999944</x:v>
      </x:c>
      <x:c r="Q138" t="n">
        <x:v>108</x:v>
      </x:c>
      <x:c r="R138" s="42" t="b">
        <x:v>0</x:v>
      </x:c>
      <x:c r="S138" s="42" t="b">
        <x:v>1</x:v>
      </x:c>
      <x:c r="T138" t="n">
        <x:v>1</x:v>
      </x:c>
      <x:c r="U138"/>
      <x:c r="V138"/>
      <x:c r="W138" s="42" t="b">
        <x:v>0</x:v>
      </x:c>
      <x:c r="X138" s="42" t="b">
        <x:v>0</x:v>
      </x:c>
      <x:c r="Y138" t="n">
        <x:v>0</x:v>
      </x:c>
      <x:c r="Z138" s="42" t="b">
        <x:v>0</x:v>
      </x:c>
      <x:c r="AA138"/>
      <x:c r="AB138" t="str">
        <x:v>Bamboo</x:v>
      </x:c>
    </x:row>
    <x:row r="139">
      <x:c r="A139" t="str">
        <x:v>mistral</x:v>
      </x:c>
      <x:c r="B139" t="str">
        <x:v>A07</x:v>
      </x:c>
      <x:c r="C139" t="str">
        <x:v>Bamboo House with Attic</x:v>
      </x:c>
      <x:c r="D139" t="str">
        <x:v>Rebar</x:v>
      </x:c>
      <x:c r="E139" t="str">
        <x:v>direct</x:v>
      </x:c>
      <x:c r="F139" s="42" t="b">
        <x:v>0</x:v>
      </x:c>
      <x:c r="G139" t="n">
        <x:v>1</x:v>
      </x:c>
      <x:c r="H139" t="n">
        <x:v>1</x:v>
      </x:c>
      <x:c r="I139" t="str">
        <x:v>Steel rebar</x:v>
      </x:c>
      <x:c r="J139" t="str">
        <x:v>proxy</x:v>
      </x:c>
      <x:c r="K139" t="str">
        <x:v>398d9810-46a2-11dd-ae16-0800200c9a66</x:v>
      </x:c>
      <x:c r="L139" t="str">
        <x:v>Compressed air, production mix, at plant, 7 bar, high efficiency, low power consumption</x:v>
      </x:c>
      <x:c r="M139" s="42" t="b">
        <x:v>1</x:v>
      </x:c>
      <x:c r="N139" s="42" t="b">
        <x:v>1</x:v>
      </x:c>
      <x:c r="O139" t="str">
        <x:v>ok</x:v>
      </x:c>
      <x:c r="P139" t="n">
        <x:v>7.577631692000068</x:v>
      </x:c>
      <x:c r="Q139" t="n">
        <x:v>109</x:v>
      </x:c>
      <x:c r="R139" s="42" t="b">
        <x:v>0</x:v>
      </x:c>
      <x:c r="S139" s="42" t="b">
        <x:v>0</x:v>
      </x:c>
      <x:c r="T139" t="n">
        <x:v>0.625</x:v>
      </x:c>
      <x:c r="U139" t="n">
        <x:v>0</x:v>
      </x:c>
      <x:c r="V139" t="n">
        <x:v>0</x:v>
      </x:c>
      <x:c r="W139" s="42" t="b">
        <x:v>0</x:v>
      </x:c>
      <x:c r="X139" s="42" t="b">
        <x:v>1</x:v>
      </x:c>
      <x:c r="Y139"/>
      <x:c r="Z139" s="42" t="b">
        <x:v>0</x:v>
      </x:c>
      <x:c r="AA139" t="str">
        <x:v>268a11fb-baf2-4b9e-8867-38bea0e76ef6</x:v>
      </x:c>
      <x:c r="AB139" t="str">
        <x:v>Rebar</x:v>
      </x:c>
    </x:row>
    <x:row r="140">
      <x:c r="A140" t="str">
        <x:v>mistral</x:v>
      </x:c>
      <x:c r="B140" t="str">
        <x:v>A08</x:v>
      </x:c>
      <x:c r="C140" t="str">
        <x:v>Bamboo House with Attic</x:v>
      </x:c>
      <x:c r="D140" t="str">
        <x:v>Soil</x:v>
      </x:c>
      <x:c r="E140" t="str">
        <x:v>review_required</x:v>
      </x:c>
      <x:c r="F140" s="42" t="b">
        <x:v>1</x:v>
      </x:c>
      <x:c r="G140"/>
      <x:c r="H140"/>
      <x:c r="I140" t="str">
        <x:v>Soil</x:v>
      </x:c>
      <x:c r="J140" t="str">
        <x:v>proxy</x:v>
      </x:c>
      <x:c r="K140" t="str">
        <x:v>e3cd6a07-b8b5-46dd-881b-2b77f6c3f27c</x:v>
      </x:c>
      <x:c r="L140" t="str">
        <x:v>Process steam from heavy fuel oil, consumption mix, at plant, heat plant, MJ</x:v>
      </x:c>
      <x:c r="M140" s="42" t="b">
        <x:v>1</x:v>
      </x:c>
      <x:c r="N140" s="42" t="b">
        <x:v>1</x:v>
      </x:c>
      <x:c r="O140" t="str">
        <x:v>ok</x:v>
      </x:c>
      <x:c r="P140" t="n">
        <x:v>7.122432466000191</x:v>
      </x:c>
      <x:c r="Q140" t="n">
        <x:v>105</x:v>
      </x:c>
      <x:c r="R140" s="42" t="b">
        <x:v>0</x:v>
      </x:c>
      <x:c r="S140" s="42" t="b">
        <x:v>1</x:v>
      </x:c>
      <x:c r="T140" t="n">
        <x:v>1</x:v>
      </x:c>
      <x:c r="U140"/>
      <x:c r="V140"/>
      <x:c r="W140" s="42" t="b">
        <x:v>0</x:v>
      </x:c>
      <x:c r="X140" s="42" t="b">
        <x:v>0</x:v>
      </x:c>
      <x:c r="Y140" t="n">
        <x:v>0</x:v>
      </x:c>
      <x:c r="Z140" s="42" t="b">
        <x:v>0</x:v>
      </x:c>
      <x:c r="AA140"/>
      <x:c r="AB140" t="str">
        <x:v>Soil</x:v>
      </x:c>
    </x:row>
    <x:row r="141">
      <x:c r="A141" t="str">
        <x:v>mistral</x:v>
      </x:c>
      <x:c r="B141" t="str">
        <x:v>A09</x:v>
      </x:c>
      <x:c r="C141" t="str">
        <x:v>Bamboo House with Attic</x:v>
      </x:c>
      <x:c r="D141" t="str">
        <x:v>CGI Sheets</x:v>
      </x:c>
      <x:c r="E141" t="str">
        <x:v>proxy</x:v>
      </x:c>
      <x:c r="F141" s="42" t="b">
        <x:v>0</x:v>
      </x:c>
      <x:c r="G141" t="n">
        <x:v>0</x:v>
      </x:c>
      <x:c r="H141" t="n">
        <x:v>0</x:v>
      </x:c>
      <x:c r="I141" t="str">
        <x:v>Corrugated fiberboard sheets</x:v>
      </x:c>
      <x:c r="J141" t="str">
        <x:v>proxy</x:v>
      </x:c>
      <x:c r="K141" t="str">
        <x:v>7311da1a-673f-96b5-66ef-00004409928e</x:v>
      </x:c>
      <x:c r="L141" t="str">
        <x:v>corrugated board sheets, production mix, at plant, technology mix, 18% primary fibre, 82 % recycled fibre</x:v>
      </x:c>
      <x:c r="M141" s="42" t="b">
        <x:v>1</x:v>
      </x:c>
      <x:c r="N141" s="42" t="b">
        <x:v>1</x:v>
      </x:c>
      <x:c r="O141" t="str">
        <x:v>ok</x:v>
      </x:c>
      <x:c r="P141" t="n">
        <x:v>8.203851113999917</x:v>
      </x:c>
      <x:c r="Q141" t="n">
        <x:v>112</x:v>
      </x:c>
      <x:c r="R141" s="42" t="b">
        <x:v>0</x:v>
      </x:c>
      <x:c r="S141" s="42" t="b">
        <x:v>0</x:v>
      </x:c>
      <x:c r="T141" t="n">
        <x:v>0.6557</x:v>
      </x:c>
      <x:c r="U141" t="n">
        <x:v>0</x:v>
      </x:c>
      <x:c r="V141"/>
      <x:c r="W141" s="42" t="b">
        <x:v>1</x:v>
      </x:c>
      <x:c r="X141" s="42" t="b">
        <x:v>1</x:v>
      </x:c>
      <x:c r="Y141"/>
      <x:c r="Z141" s="42" t="b">
        <x:v>0</x:v>
      </x:c>
      <x:c r="AA141" t="str">
        <x:v>339b2536-c881-409d-ac71-49ab0d228fe3</x:v>
      </x:c>
      <x:c r="AB141" t="str">
        <x:v>Corrugated galvanized steel sheet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s>
  <x:sheetData>
    <x:row r="1">
      <x:c r="A1" s="22" t="str">
        <x:v>model_key</x:v>
      </x:c>
      <x:c r="B1" s="22" t="str">
        <x:v>sample_id</x:v>
      </x:c>
      <x:c r="C1" s="22" t="str">
        <x:v>normalized_material_run1</x:v>
      </x:c>
      <x:c r="D1" s="22" t="str">
        <x:v>selected_process_uuid_run1</x:v>
      </x:c>
      <x:c r="E1" s="22" t="str">
        <x:v>match_type_run1</x:v>
      </x:c>
      <x:c r="F1" s="22" t="str">
        <x:v>structured_output_valid_run1</x:v>
      </x:c>
      <x:c r="G1" s="22" t="str">
        <x:v>usable_response_run1</x:v>
      </x:c>
      <x:c r="H1" s="22" t="str">
        <x:v>normalization_field_valid_run1</x:v>
      </x:c>
      <x:c r="I1" s="22" t="str">
        <x:v>selection_field_valid_run1</x:v>
      </x:c>
      <x:c r="J1" s="22" t="str">
        <x:v>match_type_field_valid_run1</x:v>
      </x:c>
      <x:c r="K1" s="22" t="str">
        <x:v>parse_status_run1</x:v>
      </x:c>
      <x:c r="L1" s="22" t="str">
        <x:v>generation_seconds_run1</x:v>
      </x:c>
      <x:c r="M1" s="22" t="str">
        <x:v>normalized_material_run2</x:v>
      </x:c>
      <x:c r="N1" s="22" t="str">
        <x:v>selected_process_uuid_run2</x:v>
      </x:c>
      <x:c r="O1" s="22" t="str">
        <x:v>match_type_run2</x:v>
      </x:c>
      <x:c r="P1" s="22" t="str">
        <x:v>structured_output_valid_run2</x:v>
      </x:c>
      <x:c r="Q1" s="22" t="str">
        <x:v>usable_response_run2</x:v>
      </x:c>
      <x:c r="R1" s="22" t="str">
        <x:v>normalization_field_valid_run2</x:v>
      </x:c>
      <x:c r="S1" s="22" t="str">
        <x:v>selection_field_valid_run2</x:v>
      </x:c>
      <x:c r="T1" s="22" t="str">
        <x:v>match_type_field_valid_run2</x:v>
      </x:c>
      <x:c r="U1" s="22" t="str">
        <x:v>parse_status_run2</x:v>
      </x:c>
      <x:c r="V1" s="22" t="str">
        <x:v>generation_seconds_run2</x:v>
      </x:c>
      <x:c r="W1" s="22" t="str">
        <x:v>normalization_pair_valid</x:v>
      </x:c>
      <x:c r="X1" s="22" t="str">
        <x:v>process_pair_valid</x:v>
      </x:c>
      <x:c r="Y1" s="22" t="str">
        <x:v>match_type_pair_valid</x:v>
      </x:c>
      <x:c r="Z1" s="22" t="str">
        <x:v>all_three_pair_valid</x:v>
      </x:c>
      <x:c r="AA1" s="22" t="str">
        <x:v>normalization_agreement</x:v>
      </x:c>
      <x:c r="AB1" s="22" t="str">
        <x:v>selection_agreement</x:v>
      </x:c>
      <x:c r="AC1" s="22" t="str">
        <x:v>match_type_agreement</x:v>
      </x:c>
      <x:c r="AD1" s="22" t="str">
        <x:v>all_three_agreement</x:v>
      </x:c>
      <x:c r="AE1" s="22" t="str">
        <x:v>normalization_strict_agreement</x:v>
      </x:c>
      <x:c r="AF1" s="22" t="str">
        <x:v>selection_strict_agreement</x:v>
      </x:c>
      <x:c r="AG1" s="22" t="str">
        <x:v>match_type_strict_agreement</x:v>
      </x:c>
      <x:c r="AH1" s="22" t="str">
        <x:v>all_three_strict_agreement</x:v>
      </x:c>
    </x:row>
    <x:row r="2">
      <x:c r="A2" t="str">
        <x:v>llama</x:v>
      </x:c>
      <x:c r="B2" t="str">
        <x:v>S01</x:v>
      </x:c>
      <x:c r="C2" t="str">
        <x:v>Portland cement</x:v>
      </x:c>
      <x:c r="D2" t="str">
        <x:v>600573dd-dfa5-44e5-b458-8727e793ffd7</x:v>
      </x:c>
      <x:c r="E2" t="str">
        <x:v>direct</x:v>
      </x:c>
      <x:c r="F2" s="42" t="b">
        <x:v>1</x:v>
      </x:c>
      <x:c r="G2" s="42" t="b">
        <x:v>1</x:v>
      </x:c>
      <x:c r="H2" s="42" t="b">
        <x:v>1</x:v>
      </x:c>
      <x:c r="I2" s="42" t="b">
        <x:v>1</x:v>
      </x:c>
      <x:c r="J2" s="42" t="b">
        <x:v>1</x:v>
      </x:c>
      <x:c r="K2" t="str">
        <x:v>ok</x:v>
      </x:c>
      <x:c r="L2" t="n">
        <x:v>5.052356691000114</x:v>
      </x:c>
      <x:c r="M2" t="str">
        <x:v>Portland cement</x:v>
      </x:c>
      <x:c r="N2" t="str">
        <x:v>600573dd-dfa5-44e5-b458-8727e793ffd7</x:v>
      </x:c>
      <x:c r="O2" t="str">
        <x:v>direct</x:v>
      </x:c>
      <x:c r="P2" s="42" t="b">
        <x:v>1</x:v>
      </x:c>
      <x:c r="Q2" s="42" t="b">
        <x:v>1</x:v>
      </x:c>
      <x:c r="R2" s="42" t="b">
        <x:v>1</x:v>
      </x:c>
      <x:c r="S2" s="42" t="b">
        <x:v>1</x:v>
      </x:c>
      <x:c r="T2" s="42" t="b">
        <x:v>1</x:v>
      </x:c>
      <x:c r="U2" t="str">
        <x:v>ok</x:v>
      </x:c>
      <x:c r="V2" t="n">
        <x:v>3.874397618000103</x:v>
      </x:c>
      <x:c r="W2" s="42" t="b">
        <x:v>1</x:v>
      </x:c>
      <x:c r="X2" s="42" t="b">
        <x:v>1</x:v>
      </x:c>
      <x:c r="Y2" s="42" t="b">
        <x:v>1</x:v>
      </x:c>
      <x:c r="Z2" s="42" t="b">
        <x:v>1</x:v>
      </x:c>
      <x:c r="AA2" s="42" t="b">
        <x:v>1</x:v>
      </x:c>
      <x:c r="AB2" s="42" t="b">
        <x:v>1</x:v>
      </x:c>
      <x:c r="AC2" s="42" t="b">
        <x:v>1</x:v>
      </x:c>
      <x:c r="AD2" s="42" t="b">
        <x:v>1</x:v>
      </x:c>
      <x:c r="AE2" s="42" t="b">
        <x:v>1</x:v>
      </x:c>
      <x:c r="AF2" s="42" t="b">
        <x:v>1</x:v>
      </x:c>
      <x:c r="AG2" s="42" t="b">
        <x:v>1</x:v>
      </x:c>
      <x:c r="AH2" s="42" t="b">
        <x:v>1</x:v>
      </x:c>
    </x:row>
    <x:row r="3">
      <x:c r="A3" t="str">
        <x:v>llama</x:v>
      </x:c>
      <x:c r="B3" t="str">
        <x:v>S11</x:v>
      </x:c>
      <x:c r="C3" t="str">
        <x:v>plaster</x:v>
      </x:c>
      <x:c r="D3" t="str">
        <x:v>da78eea3-ead1-4379-80af-14a991a2a746</x:v>
      </x:c>
      <x:c r="E3" t="str">
        <x:v>direct</x:v>
      </x:c>
      <x:c r="F3" s="42" t="b">
        <x:v>1</x:v>
      </x:c>
      <x:c r="G3" s="42" t="b">
        <x:v>1</x:v>
      </x:c>
      <x:c r="H3" s="42" t="b">
        <x:v>1</x:v>
      </x:c>
      <x:c r="I3" s="42" t="b">
        <x:v>1</x:v>
      </x:c>
      <x:c r="J3" s="42" t="b">
        <x:v>1</x:v>
      </x:c>
      <x:c r="K3" t="str">
        <x:v>ok</x:v>
      </x:c>
      <x:c r="L3" t="n">
        <x:v>4.420765053999958</x:v>
      </x:c>
      <x:c r="M3" t="str">
        <x:v>plaster</x:v>
      </x:c>
      <x:c r="N3" t="str">
        <x:v>da78eea3-ead1-4379-80af-14a991a2a746</x:v>
      </x:c>
      <x:c r="O3" t="str">
        <x:v>direct</x:v>
      </x:c>
      <x:c r="P3" s="42" t="b">
        <x:v>1</x:v>
      </x:c>
      <x:c r="Q3" s="42" t="b">
        <x:v>1</x:v>
      </x:c>
      <x:c r="R3" s="42" t="b">
        <x:v>1</x:v>
      </x:c>
      <x:c r="S3" s="42" t="b">
        <x:v>1</x:v>
      </x:c>
      <x:c r="T3" s="42" t="b">
        <x:v>1</x:v>
      </x:c>
      <x:c r="U3" t="str">
        <x:v>ok</x:v>
      </x:c>
      <x:c r="V3" t="n">
        <x:v>3.932102600999997</x:v>
      </x:c>
      <x:c r="W3" s="42" t="b">
        <x:v>1</x:v>
      </x:c>
      <x:c r="X3" s="42" t="b">
        <x:v>1</x:v>
      </x:c>
      <x:c r="Y3" s="42" t="b">
        <x:v>1</x:v>
      </x:c>
      <x:c r="Z3" s="42" t="b">
        <x:v>1</x:v>
      </x:c>
      <x:c r="AA3" s="42" t="b">
        <x:v>1</x:v>
      </x:c>
      <x:c r="AB3" s="42" t="b">
        <x:v>1</x:v>
      </x:c>
      <x:c r="AC3" s="42" t="b">
        <x:v>1</x:v>
      </x:c>
      <x:c r="AD3" s="42" t="b">
        <x:v>1</x:v>
      </x:c>
      <x:c r="AE3" s="42" t="b">
        <x:v>1</x:v>
      </x:c>
      <x:c r="AF3" s="42" t="b">
        <x:v>1</x:v>
      </x:c>
      <x:c r="AG3" s="42" t="b">
        <x:v>1</x:v>
      </x:c>
      <x:c r="AH3" s="42" t="b">
        <x:v>1</x:v>
      </x:c>
    </x:row>
    <x:row r="4">
      <x:c r="A4" t="str">
        <x:v>llama</x:v>
      </x:c>
      <x:c r="B4" t="str">
        <x:v>B05</x:v>
      </x:c>
      <x:c r="C4" t="str">
        <x:v>soil</x:v>
      </x:c>
      <x:c r="D4" t="str">
        <x:v>50462b0d-7d2b-40d4-843e-9857061e3c08</x:v>
      </x:c>
      <x:c r="E4" t="str">
        <x:v>direct</x:v>
      </x:c>
      <x:c r="F4" s="42" t="b">
        <x:v>1</x:v>
      </x:c>
      <x:c r="G4" s="42" t="b">
        <x:v>1</x:v>
      </x:c>
      <x:c r="H4" s="42" t="b">
        <x:v>1</x:v>
      </x:c>
      <x:c r="I4" s="42" t="b">
        <x:v>1</x:v>
      </x:c>
      <x:c r="J4" s="42" t="b">
        <x:v>1</x:v>
      </x:c>
      <x:c r="K4" t="str">
        <x:v>ok</x:v>
      </x:c>
      <x:c r="L4" t="n">
        <x:v>4.110941943999933</x:v>
      </x:c>
      <x:c r="M4" t="str">
        <x:v>soil</x:v>
      </x:c>
      <x:c r="N4" t="str">
        <x:v>50462b0d-7d2b-40d4-843e-9857061e3c08</x:v>
      </x:c>
      <x:c r="O4" t="str">
        <x:v>direct</x:v>
      </x:c>
      <x:c r="P4" s="42" t="b">
        <x:v>1</x:v>
      </x:c>
      <x:c r="Q4" s="42" t="b">
        <x:v>1</x:v>
      </x:c>
      <x:c r="R4" s="42" t="b">
        <x:v>1</x:v>
      </x:c>
      <x:c r="S4" s="42" t="b">
        <x:v>1</x:v>
      </x:c>
      <x:c r="T4" s="42" t="b">
        <x:v>1</x:v>
      </x:c>
      <x:c r="U4" t="str">
        <x:v>ok</x:v>
      </x:c>
      <x:c r="V4" t="n">
        <x:v>4.090483775999928</x:v>
      </x:c>
      <x:c r="W4" s="42" t="b">
        <x:v>1</x:v>
      </x:c>
      <x:c r="X4" s="42" t="b">
        <x:v>1</x:v>
      </x:c>
      <x:c r="Y4" s="42" t="b">
        <x:v>1</x:v>
      </x:c>
      <x:c r="Z4" s="42" t="b">
        <x:v>1</x:v>
      </x:c>
      <x:c r="AA4" s="42" t="b">
        <x:v>1</x:v>
      </x:c>
      <x:c r="AB4" s="42" t="b">
        <x:v>1</x:v>
      </x:c>
      <x:c r="AC4" s="42" t="b">
        <x:v>1</x:v>
      </x:c>
      <x:c r="AD4" s="42" t="b">
        <x:v>1</x:v>
      </x:c>
      <x:c r="AE4" s="42" t="b">
        <x:v>1</x:v>
      </x:c>
      <x:c r="AF4" s="42" t="b">
        <x:v>1</x:v>
      </x:c>
      <x:c r="AG4" s="42" t="b">
        <x:v>1</x:v>
      </x:c>
      <x:c r="AH4" s="42" t="b">
        <x:v>1</x:v>
      </x:c>
    </x:row>
    <x:row r="5">
      <x:c r="A5" t="str">
        <x:v>llama</x:v>
      </x:c>
      <x:c r="B5" t="str">
        <x:v>B06</x:v>
      </x:c>
      <x:c r="C5" t="str">
        <x:v>Wood</x:v>
      </x:c>
      <x:c r="D5" t="str">
        <x:v>2b61a4d6-bd1d-4ea3-828c-fdbdf5fca1f9</x:v>
      </x:c>
      <x:c r="E5" t="str">
        <x:v>direct</x:v>
      </x:c>
      <x:c r="F5" s="42" t="b">
        <x:v>1</x:v>
      </x:c>
      <x:c r="G5" s="42" t="b">
        <x:v>1</x:v>
      </x:c>
      <x:c r="H5" s="42" t="b">
        <x:v>1</x:v>
      </x:c>
      <x:c r="I5" s="42" t="b">
        <x:v>1</x:v>
      </x:c>
      <x:c r="J5" s="42" t="b">
        <x:v>1</x:v>
      </x:c>
      <x:c r="K5" t="str">
        <x:v>ok</x:v>
      </x:c>
      <x:c r="L5" t="n">
        <x:v>6.092080117000023</x:v>
      </x:c>
      <x:c r="M5" t="str">
        <x:v>Wood</x:v>
      </x:c>
      <x:c r="N5" t="str">
        <x:v>2b61a4d6-bd1d-4ea3-828c-fdbdf5fca1f9</x:v>
      </x:c>
      <x:c r="O5" t="str">
        <x:v>direct</x:v>
      </x:c>
      <x:c r="P5" s="42" t="b">
        <x:v>1</x:v>
      </x:c>
      <x:c r="Q5" s="42" t="b">
        <x:v>1</x:v>
      </x:c>
      <x:c r="R5" s="42" t="b">
        <x:v>1</x:v>
      </x:c>
      <x:c r="S5" s="42" t="b">
        <x:v>1</x:v>
      </x:c>
      <x:c r="T5" s="42" t="b">
        <x:v>1</x:v>
      </x:c>
      <x:c r="U5" t="str">
        <x:v>ok</x:v>
      </x:c>
      <x:c r="V5" t="n">
        <x:v>5.590387379000049</x:v>
      </x:c>
      <x:c r="W5" s="42" t="b">
        <x:v>1</x:v>
      </x:c>
      <x:c r="X5" s="42" t="b">
        <x:v>1</x:v>
      </x:c>
      <x:c r="Y5" s="42" t="b">
        <x:v>1</x:v>
      </x:c>
      <x:c r="Z5" s="42" t="b">
        <x:v>1</x:v>
      </x:c>
      <x:c r="AA5" s="42" t="b">
        <x:v>1</x:v>
      </x:c>
      <x:c r="AB5" s="42" t="b">
        <x:v>1</x:v>
      </x:c>
      <x:c r="AC5" s="42" t="b">
        <x:v>1</x:v>
      </x:c>
      <x:c r="AD5" s="42" t="b">
        <x:v>1</x:v>
      </x:c>
      <x:c r="AE5" s="42" t="b">
        <x:v>1</x:v>
      </x:c>
      <x:c r="AF5" s="42" t="b">
        <x:v>1</x:v>
      </x:c>
      <x:c r="AG5" s="42" t="b">
        <x:v>1</x:v>
      </x:c>
      <x:c r="AH5" s="42" t="b">
        <x:v>1</x:v>
      </x:c>
    </x:row>
    <x:row r="6">
      <x:c r="A6" t="str">
        <x:v>llama</x:v>
      </x:c>
      <x:c r="B6" t="str">
        <x:v>B10</x:v>
      </x:c>
      <x:c r="C6" t="str">
        <x:v>Steel rebar</x:v>
      </x:c>
      <x:c r="D6" t="str">
        <x:v>268a11fb-baf2-4b9e-8867-38bea0e76ef6</x:v>
      </x:c>
      <x:c r="E6" t="str">
        <x:v>direct</x:v>
      </x:c>
      <x:c r="F6" s="42" t="b">
        <x:v>1</x:v>
      </x:c>
      <x:c r="G6" s="42" t="b">
        <x:v>1</x:v>
      </x:c>
      <x:c r="H6" s="42" t="b">
        <x:v>1</x:v>
      </x:c>
      <x:c r="I6" s="42" t="b">
        <x:v>1</x:v>
      </x:c>
      <x:c r="J6" s="42" t="b">
        <x:v>1</x:v>
      </x:c>
      <x:c r="K6" t="str">
        <x:v>ok</x:v>
      </x:c>
      <x:c r="L6" t="n">
        <x:v>4.059854776000066</x:v>
      </x:c>
      <x:c r="M6" t="str">
        <x:v>Steel rebar</x:v>
      </x:c>
      <x:c r="N6" t="str">
        <x:v>268a11fb-baf2-4b9e-8867-38bea0e76ef6</x:v>
      </x:c>
      <x:c r="O6" t="str">
        <x:v>direct</x:v>
      </x:c>
      <x:c r="P6" s="42" t="b">
        <x:v>1</x:v>
      </x:c>
      <x:c r="Q6" s="42" t="b">
        <x:v>1</x:v>
      </x:c>
      <x:c r="R6" s="42" t="b">
        <x:v>1</x:v>
      </x:c>
      <x:c r="S6" s="42" t="b">
        <x:v>1</x:v>
      </x:c>
      <x:c r="T6" s="42" t="b">
        <x:v>1</x:v>
      </x:c>
      <x:c r="U6" t="str">
        <x:v>ok</x:v>
      </x:c>
      <x:c r="V6" t="n">
        <x:v>4.059525423999958</x:v>
      </x:c>
      <x:c r="W6" s="42" t="b">
        <x:v>1</x:v>
      </x:c>
      <x:c r="X6" s="42" t="b">
        <x:v>1</x:v>
      </x:c>
      <x:c r="Y6" s="42" t="b">
        <x:v>1</x:v>
      </x:c>
      <x:c r="Z6" s="42" t="b">
        <x:v>1</x:v>
      </x:c>
      <x:c r="AA6" s="42" t="b">
        <x:v>1</x:v>
      </x:c>
      <x:c r="AB6" s="42" t="b">
        <x:v>1</x:v>
      </x:c>
      <x:c r="AC6" s="42" t="b">
        <x:v>1</x:v>
      </x:c>
      <x:c r="AD6" s="42" t="b">
        <x:v>1</x:v>
      </x:c>
      <x:c r="AE6" s="42" t="b">
        <x:v>1</x:v>
      </x:c>
      <x:c r="AF6" s="42" t="b">
        <x:v>1</x:v>
      </x:c>
      <x:c r="AG6" s="42" t="b">
        <x:v>1</x:v>
      </x:c>
      <x:c r="AH6" s="42" t="b">
        <x:v>1</x:v>
      </x:c>
    </x:row>
    <x:row r="7">
      <x:c r="A7" t="str">
        <x:v>llama</x:v>
      </x:c>
      <x:c r="B7" t="str">
        <x:v>B11</x:v>
      </x:c>
      <x:c r="C7" t="str">
        <x:v>Copper wire</x:v>
      </x:c>
      <x:c r="D7" t="str">
        <x:v>11bceac4-b3d8-4048-8e80-b691ecd2c261</x:v>
      </x:c>
      <x:c r="E7" t="str">
        <x:v>direct</x:v>
      </x:c>
      <x:c r="F7" s="42" t="b">
        <x:v>1</x:v>
      </x:c>
      <x:c r="G7" s="42" t="b">
        <x:v>1</x:v>
      </x:c>
      <x:c r="H7" s="42" t="b">
        <x:v>1</x:v>
      </x:c>
      <x:c r="I7" s="42" t="b">
        <x:v>1</x:v>
      </x:c>
      <x:c r="J7" s="42" t="b">
        <x:v>1</x:v>
      </x:c>
      <x:c r="K7" t="str">
        <x:v>ok</x:v>
      </x:c>
      <x:c r="L7" t="n">
        <x:v>6.33374551299994</x:v>
      </x:c>
      <x:c r="M7" t="str">
        <x:v>Copper wire</x:v>
      </x:c>
      <x:c r="N7" t="str">
        <x:v>11bceac4-b3d8-4048-8e80-b691ecd2c261</x:v>
      </x:c>
      <x:c r="O7" t="str">
        <x:v>direct</x:v>
      </x:c>
      <x:c r="P7" s="42" t="b">
        <x:v>1</x:v>
      </x:c>
      <x:c r="Q7" s="42" t="b">
        <x:v>1</x:v>
      </x:c>
      <x:c r="R7" s="42" t="b">
        <x:v>1</x:v>
      </x:c>
      <x:c r="S7" s="42" t="b">
        <x:v>1</x:v>
      </x:c>
      <x:c r="T7" s="42" t="b">
        <x:v>1</x:v>
      </x:c>
      <x:c r="U7" t="str">
        <x:v>ok</x:v>
      </x:c>
      <x:c r="V7" t="n">
        <x:v>6.335160402999918</x:v>
      </x:c>
      <x:c r="W7" s="42" t="b">
        <x:v>1</x:v>
      </x:c>
      <x:c r="X7" s="42" t="b">
        <x:v>1</x:v>
      </x:c>
      <x:c r="Y7" s="42" t="b">
        <x:v>1</x:v>
      </x:c>
      <x:c r="Z7" s="42" t="b">
        <x:v>1</x:v>
      </x:c>
      <x:c r="AA7" s="42" t="b">
        <x:v>1</x:v>
      </x:c>
      <x:c r="AB7" s="42" t="b">
        <x:v>1</x:v>
      </x:c>
      <x:c r="AC7" s="42" t="b">
        <x:v>1</x:v>
      </x:c>
      <x:c r="AD7" s="42" t="b">
        <x:v>1</x:v>
      </x:c>
      <x:c r="AE7" s="42" t="b">
        <x:v>1</x:v>
      </x:c>
      <x:c r="AF7" s="42" t="b">
        <x:v>1</x:v>
      </x:c>
      <x:c r="AG7" s="42" t="b">
        <x:v>1</x:v>
      </x:c>
      <x:c r="AH7" s="42" t="b">
        <x:v>1</x:v>
      </x:c>
    </x:row>
    <x:row r="8">
      <x:c r="A8" t="str">
        <x:v>llama</x:v>
      </x:c>
      <x:c r="B8" t="str">
        <x:v>B12</x:v>
      </x:c>
      <x:c r="C8" t="str">
        <x:v>CGI Sheets</x:v>
      </x:c>
      <x:c r="D8" t="str">
        <x:v>09215eb1-5fc9-11dd-ad8b-0800200c9a66</x:v>
      </x:c>
      <x:c r="E8" t="str">
        <x:v>proxy</x:v>
      </x:c>
      <x:c r="F8" s="42" t="b">
        <x:v>1</x:v>
      </x:c>
      <x:c r="G8" s="42" t="b">
        <x:v>1</x:v>
      </x:c>
      <x:c r="H8" s="42" t="b">
        <x:v>1</x:v>
      </x:c>
      <x:c r="I8" s="42" t="b">
        <x:v>1</x:v>
      </x:c>
      <x:c r="J8" s="42" t="b">
        <x:v>1</x:v>
      </x:c>
      <x:c r="K8" t="str">
        <x:v>ok</x:v>
      </x:c>
      <x:c r="L8" t="n">
        <x:v>3.961648904999947</x:v>
      </x:c>
      <x:c r="M8" t="str">
        <x:v>CGI Sheets</x:v>
      </x:c>
      <x:c r="N8" t="str">
        <x:v>09215eb1-5fc9-11dd-ad8b-0800200c9a66</x:v>
      </x:c>
      <x:c r="O8" t="str">
        <x:v>proxy</x:v>
      </x:c>
      <x:c r="P8" s="42" t="b">
        <x:v>1</x:v>
      </x:c>
      <x:c r="Q8" s="42" t="b">
        <x:v>1</x:v>
      </x:c>
      <x:c r="R8" s="42" t="b">
        <x:v>1</x:v>
      </x:c>
      <x:c r="S8" s="42" t="b">
        <x:v>1</x:v>
      </x:c>
      <x:c r="T8" s="42" t="b">
        <x:v>1</x:v>
      </x:c>
      <x:c r="U8" t="str">
        <x:v>ok</x:v>
      </x:c>
      <x:c r="V8" t="n">
        <x:v>3.978106915999888</x:v>
      </x:c>
      <x:c r="W8" s="42" t="b">
        <x:v>1</x:v>
      </x:c>
      <x:c r="X8" s="42" t="b">
        <x:v>1</x:v>
      </x:c>
      <x:c r="Y8" s="42" t="b">
        <x:v>1</x:v>
      </x:c>
      <x:c r="Z8" s="42" t="b">
        <x:v>1</x:v>
      </x:c>
      <x:c r="AA8" s="42" t="b">
        <x:v>1</x:v>
      </x:c>
      <x:c r="AB8" s="42" t="b">
        <x:v>1</x:v>
      </x:c>
      <x:c r="AC8" s="42" t="b">
        <x:v>1</x:v>
      </x:c>
      <x:c r="AD8" s="42" t="b">
        <x:v>1</x:v>
      </x:c>
      <x:c r="AE8" s="42" t="b">
        <x:v>1</x:v>
      </x:c>
      <x:c r="AF8" s="42" t="b">
        <x:v>1</x:v>
      </x:c>
      <x:c r="AG8" s="42" t="b">
        <x:v>1</x:v>
      </x:c>
      <x:c r="AH8" s="42" t="b">
        <x:v>1</x:v>
      </x:c>
    </x:row>
    <x:row r="9">
      <x:c r="A9" t="str">
        <x:v>llama</x:v>
      </x:c>
      <x:c r="B9" t="str">
        <x:v>A01</x:v>
      </x:c>
      <x:c r="C9" t="str">
        <x:v>Portland cement</x:v>
      </x:c>
      <x:c r="D9" t="str">
        <x:v>600573dd-dfa5-44e5-b458-8727e793ffd7</x:v>
      </x:c>
      <x:c r="E9" t="str">
        <x:v>direct</x:v>
      </x:c>
      <x:c r="F9" s="42" t="b">
        <x:v>1</x:v>
      </x:c>
      <x:c r="G9" s="42" t="b">
        <x:v>1</x:v>
      </x:c>
      <x:c r="H9" s="42" t="b">
        <x:v>1</x:v>
      </x:c>
      <x:c r="I9" s="42" t="b">
        <x:v>1</x:v>
      </x:c>
      <x:c r="J9" s="42" t="b">
        <x:v>1</x:v>
      </x:c>
      <x:c r="K9" t="str">
        <x:v>ok</x:v>
      </x:c>
      <x:c r="L9" t="n">
        <x:v>3.778814584999964</x:v>
      </x:c>
      <x:c r="M9" t="str">
        <x:v>Portland cement</x:v>
      </x:c>
      <x:c r="N9" t="str">
        <x:v>600573dd-dfa5-44e5-b458-8727e793ffd7</x:v>
      </x:c>
      <x:c r="O9" t="str">
        <x:v>direct</x:v>
      </x:c>
      <x:c r="P9" s="42" t="b">
        <x:v>1</x:v>
      </x:c>
      <x:c r="Q9" s="42" t="b">
        <x:v>1</x:v>
      </x:c>
      <x:c r="R9" s="42" t="b">
        <x:v>1</x:v>
      </x:c>
      <x:c r="S9" s="42" t="b">
        <x:v>1</x:v>
      </x:c>
      <x:c r="T9" s="42" t="b">
        <x:v>1</x:v>
      </x:c>
      <x:c r="U9" t="str">
        <x:v>ok</x:v>
      </x:c>
      <x:c r="V9" t="n">
        <x:v>3.823164503000044</x:v>
      </x:c>
      <x:c r="W9" s="42" t="b">
        <x:v>1</x:v>
      </x:c>
      <x:c r="X9" s="42" t="b">
        <x:v>1</x:v>
      </x:c>
      <x:c r="Y9" s="42" t="b">
        <x:v>1</x:v>
      </x:c>
      <x:c r="Z9" s="42" t="b">
        <x:v>1</x:v>
      </x:c>
      <x:c r="AA9" s="42" t="b">
        <x:v>1</x:v>
      </x:c>
      <x:c r="AB9" s="42" t="b">
        <x:v>1</x:v>
      </x:c>
      <x:c r="AC9" s="42" t="b">
        <x:v>1</x:v>
      </x:c>
      <x:c r="AD9" s="42" t="b">
        <x:v>1</x:v>
      </x:c>
      <x:c r="AE9" s="42" t="b">
        <x:v>1</x:v>
      </x:c>
      <x:c r="AF9" s="42" t="b">
        <x:v>1</x:v>
      </x:c>
      <x:c r="AG9" s="42" t="b">
        <x:v>1</x:v>
      </x:c>
      <x:c r="AH9" s="42" t="b">
        <x:v>1</x:v>
      </x:c>
    </x:row>
    <x:row r="10">
      <x:c r="A10" t="str">
        <x:v>llama</x:v>
      </x:c>
      <x:c r="B10" t="str">
        <x:v>A03</x:v>
      </x:c>
      <x:c r="C10" t="str">
        <x:v>Gravel</x:v>
      </x:c>
      <x:c r="D10" t="str">
        <x:v>898618b2-3306-11dd-bd11-0800200c9a66</x:v>
      </x:c>
      <x:c r="E10" t="str">
        <x:v>direct</x:v>
      </x:c>
      <x:c r="F10" s="42" t="b">
        <x:v>1</x:v>
      </x:c>
      <x:c r="G10" s="42" t="b">
        <x:v>1</x:v>
      </x:c>
      <x:c r="H10" s="42" t="b">
        <x:v>1</x:v>
      </x:c>
      <x:c r="I10" s="42" t="b">
        <x:v>1</x:v>
      </x:c>
      <x:c r="J10" s="42" t="b">
        <x:v>1</x:v>
      </x:c>
      <x:c r="K10" t="str">
        <x:v>ok</x:v>
      </x:c>
      <x:c r="L10" t="n">
        <x:v>3.77674832699995</x:v>
      </x:c>
      <x:c r="M10" t="str">
        <x:v>Gravel</x:v>
      </x:c>
      <x:c r="N10" t="str">
        <x:v>898618b2-3306-11dd-bd11-0800200c9a66</x:v>
      </x:c>
      <x:c r="O10" t="str">
        <x:v>direct</x:v>
      </x:c>
      <x:c r="P10" s="42" t="b">
        <x:v>1</x:v>
      </x:c>
      <x:c r="Q10" s="42" t="b">
        <x:v>1</x:v>
      </x:c>
      <x:c r="R10" s="42" t="b">
        <x:v>1</x:v>
      </x:c>
      <x:c r="S10" s="42" t="b">
        <x:v>1</x:v>
      </x:c>
      <x:c r="T10" s="42" t="b">
        <x:v>1</x:v>
      </x:c>
      <x:c r="U10" t="str">
        <x:v>ok</x:v>
      </x:c>
      <x:c r="V10" t="n">
        <x:v>4.184781011000041</x:v>
      </x:c>
      <x:c r="W10" s="42" t="b">
        <x:v>1</x:v>
      </x:c>
      <x:c r="X10" s="42" t="b">
        <x:v>1</x:v>
      </x:c>
      <x:c r="Y10" s="42" t="b">
        <x:v>1</x:v>
      </x:c>
      <x:c r="Z10" s="42" t="b">
        <x:v>1</x:v>
      </x:c>
      <x:c r="AA10" s="42" t="b">
        <x:v>1</x:v>
      </x:c>
      <x:c r="AB10" s="42" t="b">
        <x:v>1</x:v>
      </x:c>
      <x:c r="AC10" s="42" t="b">
        <x:v>1</x:v>
      </x:c>
      <x:c r="AD10" s="42" t="b">
        <x:v>1</x:v>
      </x:c>
      <x:c r="AE10" s="42" t="b">
        <x:v>1</x:v>
      </x:c>
      <x:c r="AF10" s="42" t="b">
        <x:v>1</x:v>
      </x:c>
      <x:c r="AG10" s="42" t="b">
        <x:v>1</x:v>
      </x:c>
      <x:c r="AH10" s="42" t="b">
        <x:v>1</x:v>
      </x:c>
    </x:row>
    <x:row r="11">
      <x:c r="A11" t="str">
        <x:v>llama</x:v>
      </x:c>
      <x:c r="B11" t="str">
        <x:v>A04</x:v>
      </x:c>
      <x:c r="C11" t="str">
        <x:v>soil</x:v>
      </x:c>
      <x:c r="D11" t="str">
        <x:v>898618b7-3306-11dd-bd11-0800200c9a66</x:v>
      </x:c>
      <x:c r="E11" t="str">
        <x:v>direct</x:v>
      </x:c>
      <x:c r="F11" s="42" t="b">
        <x:v>1</x:v>
      </x:c>
      <x:c r="G11" s="42" t="b">
        <x:v>1</x:v>
      </x:c>
      <x:c r="H11" s="42" t="b">
        <x:v>1</x:v>
      </x:c>
      <x:c r="I11" s="42" t="b">
        <x:v>1</x:v>
      </x:c>
      <x:c r="J11" s="42" t="b">
        <x:v>1</x:v>
      </x:c>
      <x:c r="K11" t="str">
        <x:v>ok</x:v>
      </x:c>
      <x:c r="L11" t="n">
        <x:v>3.880130460999908</x:v>
      </x:c>
      <x:c r="M11" t="str">
        <x:v>soil</x:v>
      </x:c>
      <x:c r="N11" t="str">
        <x:v>898618b7-3306-11dd-bd11-0800200c9a66</x:v>
      </x:c>
      <x:c r="O11" t="str">
        <x:v>direct</x:v>
      </x:c>
      <x:c r="P11" s="42" t="b">
        <x:v>1</x:v>
      </x:c>
      <x:c r="Q11" s="42" t="b">
        <x:v>1</x:v>
      </x:c>
      <x:c r="R11" s="42" t="b">
        <x:v>1</x:v>
      </x:c>
      <x:c r="S11" s="42" t="b">
        <x:v>1</x:v>
      </x:c>
      <x:c r="T11" s="42" t="b">
        <x:v>1</x:v>
      </x:c>
      <x:c r="U11" t="str">
        <x:v>ok</x:v>
      </x:c>
      <x:c r="V11" t="n">
        <x:v>3.833806373000016</x:v>
      </x:c>
      <x:c r="W11" s="42" t="b">
        <x:v>1</x:v>
      </x:c>
      <x:c r="X11" s="42" t="b">
        <x:v>1</x:v>
      </x:c>
      <x:c r="Y11" s="42" t="b">
        <x:v>1</x:v>
      </x:c>
      <x:c r="Z11" s="42" t="b">
        <x:v>1</x:v>
      </x:c>
      <x:c r="AA11" s="42" t="b">
        <x:v>1</x:v>
      </x:c>
      <x:c r="AB11" s="42" t="b">
        <x:v>1</x:v>
      </x:c>
      <x:c r="AC11" s="42" t="b">
        <x:v>1</x:v>
      </x:c>
      <x:c r="AD11" s="42" t="b">
        <x:v>1</x:v>
      </x:c>
      <x:c r="AE11" s="42" t="b">
        <x:v>1</x:v>
      </x:c>
      <x:c r="AF11" s="42" t="b">
        <x:v>1</x:v>
      </x:c>
      <x:c r="AG11" s="42" t="b">
        <x:v>1</x:v>
      </x:c>
      <x:c r="AH11" s="42" t="b">
        <x:v>1</x:v>
      </x:c>
    </x:row>
    <x:row r="12">
      <x:c r="A12" t="str">
        <x:v>llama</x:v>
      </x:c>
      <x:c r="B12" t="str">
        <x:v>A08</x:v>
      </x:c>
      <x:c r="C12" t="str">
        <x:v>soil</x:v>
      </x:c>
      <x:c r="D12" t="str">
        <x:v>1709667f-24d8-4eb9-a361-a0c85ac65d85</x:v>
      </x:c>
      <x:c r="E12" t="str">
        <x:v>proxy</x:v>
      </x:c>
      <x:c r="F12" s="42" t="b">
        <x:v>1</x:v>
      </x:c>
      <x:c r="G12" s="42" t="b">
        <x:v>1</x:v>
      </x:c>
      <x:c r="H12" s="42" t="b">
        <x:v>1</x:v>
      </x:c>
      <x:c r="I12" s="42" t="b">
        <x:v>1</x:v>
      </x:c>
      <x:c r="J12" s="42" t="b">
        <x:v>1</x:v>
      </x:c>
      <x:c r="K12" t="str">
        <x:v>ok</x:v>
      </x:c>
      <x:c r="L12" t="n">
        <x:v>4.237030689999983</x:v>
      </x:c>
      <x:c r="M12" t="str">
        <x:v>soil</x:v>
      </x:c>
      <x:c r="N12" t="str">
        <x:v>1709667f-24d8-4eb9-a361-a0c85ac65d85</x:v>
      </x:c>
      <x:c r="O12" t="str">
        <x:v>proxy</x:v>
      </x:c>
      <x:c r="P12" s="42" t="b">
        <x:v>1</x:v>
      </x:c>
      <x:c r="Q12" s="42" t="b">
        <x:v>1</x:v>
      </x:c>
      <x:c r="R12" s="42" t="b">
        <x:v>1</x:v>
      </x:c>
      <x:c r="S12" s="42" t="b">
        <x:v>1</x:v>
      </x:c>
      <x:c r="T12" s="42" t="b">
        <x:v>1</x:v>
      </x:c>
      <x:c r="U12" t="str">
        <x:v>ok</x:v>
      </x:c>
      <x:c r="V12" t="n">
        <x:v>4.436637794000035</x:v>
      </x:c>
      <x:c r="W12" s="42" t="b">
        <x:v>1</x:v>
      </x:c>
      <x:c r="X12" s="42" t="b">
        <x:v>1</x:v>
      </x:c>
      <x:c r="Y12" s="42" t="b">
        <x:v>1</x:v>
      </x:c>
      <x:c r="Z12" s="42" t="b">
        <x:v>1</x:v>
      </x:c>
      <x:c r="AA12" s="42" t="b">
        <x:v>1</x:v>
      </x:c>
      <x:c r="AB12" s="42" t="b">
        <x:v>1</x:v>
      </x:c>
      <x:c r="AC12" s="42" t="b">
        <x:v>1</x:v>
      </x:c>
      <x:c r="AD12" s="42" t="b">
        <x:v>1</x:v>
      </x:c>
      <x:c r="AE12" s="42" t="b">
        <x:v>1</x:v>
      </x:c>
      <x:c r="AF12" s="42" t="b">
        <x:v>1</x:v>
      </x:c>
      <x:c r="AG12" s="42" t="b">
        <x:v>1</x:v>
      </x:c>
      <x:c r="AH12" s="42" t="b">
        <x:v>1</x:v>
      </x:c>
    </x:row>
    <x:row r="13">
      <x:c r="A13" t="str">
        <x:v>llama</x:v>
      </x:c>
      <x:c r="B13" t="str">
        <x:v>A09</x:v>
      </x:c>
      <x:c r="C13" t="str">
        <x:v>cartonboard</x:v>
      </x:c>
      <x:c r="D13" t="str">
        <x:v>54025657-ca8e-1cd4-3330-0000339bcc6d</x:v>
      </x:c>
      <x:c r="E13" t="str">
        <x:v>direct</x:v>
      </x:c>
      <x:c r="F13" s="42" t="b">
        <x:v>1</x:v>
      </x:c>
      <x:c r="G13" s="42" t="b">
        <x:v>1</x:v>
      </x:c>
      <x:c r="H13" s="42" t="b">
        <x:v>1</x:v>
      </x:c>
      <x:c r="I13" s="42" t="b">
        <x:v>1</x:v>
      </x:c>
      <x:c r="J13" s="42" t="b">
        <x:v>1</x:v>
      </x:c>
      <x:c r="K13" t="str">
        <x:v>ok</x:v>
      </x:c>
      <x:c r="L13" t="n">
        <x:v>3.890574610000158</x:v>
      </x:c>
      <x:c r="M13" t="str">
        <x:v>cartonboard</x:v>
      </x:c>
      <x:c r="N13" t="str">
        <x:v>54025657-ca8e-1cd4-3330-0000339bcc6d</x:v>
      </x:c>
      <x:c r="O13" t="str">
        <x:v>direct</x:v>
      </x:c>
      <x:c r="P13" s="42" t="b">
        <x:v>1</x:v>
      </x:c>
      <x:c r="Q13" s="42" t="b">
        <x:v>1</x:v>
      </x:c>
      <x:c r="R13" s="42" t="b">
        <x:v>1</x:v>
      </x:c>
      <x:c r="S13" s="42" t="b">
        <x:v>1</x:v>
      </x:c>
      <x:c r="T13" s="42" t="b">
        <x:v>1</x:v>
      </x:c>
      <x:c r="U13" t="str">
        <x:v>ok</x:v>
      </x:c>
      <x:c r="V13" t="n">
        <x:v>4.419708352000043</x:v>
      </x:c>
      <x:c r="W13" s="42" t="b">
        <x:v>1</x:v>
      </x:c>
      <x:c r="X13" s="42" t="b">
        <x:v>1</x:v>
      </x:c>
      <x:c r="Y13" s="42" t="b">
        <x:v>1</x:v>
      </x:c>
      <x:c r="Z13" s="42" t="b">
        <x:v>1</x:v>
      </x:c>
      <x:c r="AA13" s="42" t="b">
        <x:v>1</x:v>
      </x:c>
      <x:c r="AB13" s="42" t="b">
        <x:v>1</x:v>
      </x:c>
      <x:c r="AC13" s="42" t="b">
        <x:v>1</x:v>
      </x:c>
      <x:c r="AD13" s="42" t="b">
        <x:v>1</x:v>
      </x:c>
      <x:c r="AE13" s="42" t="b">
        <x:v>1</x:v>
      </x:c>
      <x:c r="AF13" s="42" t="b">
        <x:v>1</x:v>
      </x:c>
      <x:c r="AG13" s="42" t="b">
        <x:v>1</x:v>
      </x:c>
      <x:c r="AH13" s="42" t="b">
        <x:v>1</x:v>
      </x:c>
    </x:row>
    <x:row r="14">
      <x:c r="A14" t="str">
        <x:v>qwen</x:v>
      </x:c>
      <x:c r="B14" t="str">
        <x:v>S01</x:v>
      </x:c>
      <x:c r="C14" t="str">
        <x:v>Ordinary Portland Cement (OPC 43-grade)</x:v>
      </x:c>
      <x:c r="D14" t="str">
        <x:v>600573dd-dfa5-44e5-b458-8727e793ffd7</x:v>
      </x:c>
      <x:c r="E14" t="str">
        <x:v>direct</x:v>
      </x:c>
      <x:c r="F14" s="42" t="b">
        <x:v>1</x:v>
      </x:c>
      <x:c r="G14" s="42" t="b">
        <x:v>1</x:v>
      </x:c>
      <x:c r="H14" s="42" t="b">
        <x:v>1</x:v>
      </x:c>
      <x:c r="I14" s="42" t="b">
        <x:v>1</x:v>
      </x:c>
      <x:c r="J14" s="42" t="b">
        <x:v>1</x:v>
      </x:c>
      <x:c r="K14" t="str">
        <x:v>ok</x:v>
      </x:c>
      <x:c r="L14" t="n">
        <x:v>5.916853326000137</x:v>
      </x:c>
      <x:c r="M14" t="str">
        <x:v>Ordinary Portland Cement (OPC 43-grade)</x:v>
      </x:c>
      <x:c r="N14" t="str">
        <x:v>600573dd-dfa5-44e5-b458-8727e793ffd7</x:v>
      </x:c>
      <x:c r="O14" t="str">
        <x:v>direct</x:v>
      </x:c>
      <x:c r="P14" s="42" t="b">
        <x:v>1</x:v>
      </x:c>
      <x:c r="Q14" s="42" t="b">
        <x:v>1</x:v>
      </x:c>
      <x:c r="R14" s="42" t="b">
        <x:v>1</x:v>
      </x:c>
      <x:c r="S14" s="42" t="b">
        <x:v>1</x:v>
      </x:c>
      <x:c r="T14" s="42" t="b">
        <x:v>1</x:v>
      </x:c>
      <x:c r="U14" t="str">
        <x:v>ok</x:v>
      </x:c>
      <x:c r="V14" t="n">
        <x:v>4.704767344999937</x:v>
      </x:c>
      <x:c r="W14" s="42" t="b">
        <x:v>1</x:v>
      </x:c>
      <x:c r="X14" s="42" t="b">
        <x:v>1</x:v>
      </x:c>
      <x:c r="Y14" s="42" t="b">
        <x:v>1</x:v>
      </x:c>
      <x:c r="Z14" s="42" t="b">
        <x:v>1</x:v>
      </x:c>
      <x:c r="AA14" s="42" t="b">
        <x:v>1</x:v>
      </x:c>
      <x:c r="AB14" s="42" t="b">
        <x:v>1</x:v>
      </x:c>
      <x:c r="AC14" s="42" t="b">
        <x:v>1</x:v>
      </x:c>
      <x:c r="AD14" s="42" t="b">
        <x:v>1</x:v>
      </x:c>
      <x:c r="AE14" s="42" t="b">
        <x:v>1</x:v>
      </x:c>
      <x:c r="AF14" s="42" t="b">
        <x:v>1</x:v>
      </x:c>
      <x:c r="AG14" s="42" t="b">
        <x:v>1</x:v>
      </x:c>
      <x:c r="AH14" s="42" t="b">
        <x:v>1</x:v>
      </x:c>
    </x:row>
    <x:row r="15">
      <x:c r="A15" t="str">
        <x:v>qwen</x:v>
      </x:c>
      <x:c r="B15" t="str">
        <x:v>S11</x:v>
      </x:c>
      <x:c r="C15" t="str">
        <x:v>Plaster</x:v>
      </x:c>
      <x:c r="D15" t="str">
        <x:v>da78eea3-ead1-4379-80af-14a991a2a746</x:v>
      </x:c>
      <x:c r="E15" t="str">
        <x:v>direct</x:v>
      </x:c>
      <x:c r="F15" s="42" t="b">
        <x:v>1</x:v>
      </x:c>
      <x:c r="G15" s="42" t="b">
        <x:v>1</x:v>
      </x:c>
      <x:c r="H15" s="42" t="b">
        <x:v>1</x:v>
      </x:c>
      <x:c r="I15" s="42" t="b">
        <x:v>1</x:v>
      </x:c>
      <x:c r="J15" s="42" t="b">
        <x:v>1</x:v>
      </x:c>
      <x:c r="K15" t="str">
        <x:v>ok</x:v>
      </x:c>
      <x:c r="L15" t="n">
        <x:v>4.221236383999894</x:v>
      </x:c>
      <x:c r="M15" t="str">
        <x:v>Plaster</x:v>
      </x:c>
      <x:c r="N15" t="str">
        <x:v>da78eea3-ead1-4379-80af-14a991a2a746</x:v>
      </x:c>
      <x:c r="O15" t="str">
        <x:v>direct</x:v>
      </x:c>
      <x:c r="P15" s="42" t="b">
        <x:v>1</x:v>
      </x:c>
      <x:c r="Q15" s="42" t="b">
        <x:v>1</x:v>
      </x:c>
      <x:c r="R15" s="42" t="b">
        <x:v>1</x:v>
      </x:c>
      <x:c r="S15" s="42" t="b">
        <x:v>1</x:v>
      </x:c>
      <x:c r="T15" s="42" t="b">
        <x:v>1</x:v>
      </x:c>
      <x:c r="U15" t="str">
        <x:v>ok</x:v>
      </x:c>
      <x:c r="V15" t="n">
        <x:v>4.147731407000038</x:v>
      </x:c>
      <x:c r="W15" s="42" t="b">
        <x:v>1</x:v>
      </x:c>
      <x:c r="X15" s="42" t="b">
        <x:v>1</x:v>
      </x:c>
      <x:c r="Y15" s="42" t="b">
        <x:v>1</x:v>
      </x:c>
      <x:c r="Z15" s="42" t="b">
        <x:v>1</x:v>
      </x:c>
      <x:c r="AA15" s="42" t="b">
        <x:v>1</x:v>
      </x:c>
      <x:c r="AB15" s="42" t="b">
        <x:v>1</x:v>
      </x:c>
      <x:c r="AC15" s="42" t="b">
        <x:v>1</x:v>
      </x:c>
      <x:c r="AD15" s="42" t="b">
        <x:v>1</x:v>
      </x:c>
      <x:c r="AE15" s="42" t="b">
        <x:v>1</x:v>
      </x:c>
      <x:c r="AF15" s="42" t="b">
        <x:v>1</x:v>
      </x:c>
      <x:c r="AG15" s="42" t="b">
        <x:v>1</x:v>
      </x:c>
      <x:c r="AH15" s="42" t="b">
        <x:v>1</x:v>
      </x:c>
    </x:row>
    <x:row r="16">
      <x:c r="A16" t="str">
        <x:v>qwen</x:v>
      </x:c>
      <x:c r="B16" t="str">
        <x:v>B05</x:v>
      </x:c>
      <x:c r="C16" t="str">
        <x:v>Soil</x:v>
      </x:c>
      <x:c r="D16"/>
      <x:c r="E16" t="str">
        <x:v>review_required</x:v>
      </x:c>
      <x:c r="F16" s="42" t="b">
        <x:v>1</x:v>
      </x:c>
      <x:c r="G16" s="42" t="b">
        <x:v>1</x:v>
      </x:c>
      <x:c r="H16" s="42" t="b">
        <x:v>1</x:v>
      </x:c>
      <x:c r="I16" s="42" t="b">
        <x:v>1</x:v>
      </x:c>
      <x:c r="J16" s="42" t="b">
        <x:v>1</x:v>
      </x:c>
      <x:c r="K16" t="str">
        <x:v>ok</x:v>
      </x:c>
      <x:c r="L16" t="n">
        <x:v>2.446835230000033</x:v>
      </x:c>
      <x:c r="M16" t="str">
        <x:v>Soil</x:v>
      </x:c>
      <x:c r="N16"/>
      <x:c r="O16" t="str">
        <x:v>review_required</x:v>
      </x:c>
      <x:c r="P16" s="42" t="b">
        <x:v>1</x:v>
      </x:c>
      <x:c r="Q16" s="42" t="b">
        <x:v>1</x:v>
      </x:c>
      <x:c r="R16" s="42" t="b">
        <x:v>1</x:v>
      </x:c>
      <x:c r="S16" s="42" t="b">
        <x:v>1</x:v>
      </x:c>
      <x:c r="T16" s="42" t="b">
        <x:v>1</x:v>
      </x:c>
      <x:c r="U16" t="str">
        <x:v>ok</x:v>
      </x:c>
      <x:c r="V16" t="n">
        <x:v>2.738216726000019</x:v>
      </x:c>
      <x:c r="W16" s="42" t="b">
        <x:v>1</x:v>
      </x:c>
      <x:c r="X16" s="42" t="b">
        <x:v>1</x:v>
      </x:c>
      <x:c r="Y16" s="42" t="b">
        <x:v>1</x:v>
      </x:c>
      <x:c r="Z16" s="42" t="b">
        <x:v>1</x:v>
      </x:c>
      <x:c r="AA16" s="42" t="b">
        <x:v>1</x:v>
      </x:c>
      <x:c r="AB16" s="42" t="b">
        <x:v>1</x:v>
      </x:c>
      <x:c r="AC16" s="42" t="b">
        <x:v>1</x:v>
      </x:c>
      <x:c r="AD16" s="42" t="b">
        <x:v>1</x:v>
      </x:c>
      <x:c r="AE16" s="42" t="b">
        <x:v>1</x:v>
      </x:c>
      <x:c r="AF16" s="42" t="b">
        <x:v>1</x:v>
      </x:c>
      <x:c r="AG16" s="42" t="b">
        <x:v>1</x:v>
      </x:c>
      <x:c r="AH16" s="42" t="b">
        <x:v>1</x:v>
      </x:c>
    </x:row>
    <x:row r="17">
      <x:c r="A17" t="str">
        <x:v>qwen</x:v>
      </x:c>
      <x:c r="B17" t="str">
        <x:v>B06</x:v>
      </x:c>
      <x:c r="C17" t="str">
        <x:v>Wood</x:v>
      </x:c>
      <x:c r="D17" t="str">
        <x:v>2b61a4d6-bd1d-4ea3-828c-fdbdf5fca1f9</x:v>
      </x:c>
      <x:c r="E17" t="str">
        <x:v>proxy</x:v>
      </x:c>
      <x:c r="F17" s="42" t="b">
        <x:v>0</x:v>
      </x:c>
      <x:c r="G17" s="42" t="b">
        <x:v>0</x:v>
      </x:c>
      <x:c r="H17" s="42" t="b">
        <x:v>1</x:v>
      </x:c>
      <x:c r="I17" s="42" t="b">
        <x:v>1</x:v>
      </x:c>
      <x:c r="J17" s="42" t="b">
        <x:v>1</x:v>
      </x:c>
      <x:c r="K17" t="str">
        <x:v>invalid_ranking</x:v>
      </x:c>
      <x:c r="L17" t="n">
        <x:v>6.436414187000082</x:v>
      </x:c>
      <x:c r="M17" t="str">
        <x:v>Wood</x:v>
      </x:c>
      <x:c r="N17" t="str">
        <x:v>2b61a4d6-bd1d-4ea3-828c-fdbdf5fca1f9</x:v>
      </x:c>
      <x:c r="O17" t="str">
        <x:v>proxy</x:v>
      </x:c>
      <x:c r="P17" s="42" t="b">
        <x:v>0</x:v>
      </x:c>
      <x:c r="Q17" s="42" t="b">
        <x:v>0</x:v>
      </x:c>
      <x:c r="R17" s="42" t="b">
        <x:v>1</x:v>
      </x:c>
      <x:c r="S17" s="42" t="b">
        <x:v>1</x:v>
      </x:c>
      <x:c r="T17" s="42" t="b">
        <x:v>1</x:v>
      </x:c>
      <x:c r="U17" t="str">
        <x:v>invalid_ranking</x:v>
      </x:c>
      <x:c r="V17" t="n">
        <x:v>6.564926348999961</x:v>
      </x:c>
      <x:c r="W17" s="42" t="b">
        <x:v>1</x:v>
      </x:c>
      <x:c r="X17" s="42" t="b">
        <x:v>0</x:v>
      </x:c>
      <x:c r="Y17" s="42" t="b">
        <x:v>1</x:v>
      </x:c>
      <x:c r="Z17" s="42" t="b">
        <x:v>0</x:v>
      </x:c>
      <x:c r="AA17" s="42" t="b">
        <x:v>1</x:v>
      </x:c>
      <x:c r="AB17" s="42" t="b">
        <x:v>1</x:v>
      </x:c>
      <x:c r="AC17" s="42" t="b">
        <x:v>1</x:v>
      </x:c>
      <x:c r="AD17" s="42" t="b">
        <x:v>1</x:v>
      </x:c>
      <x:c r="AE17" s="42" t="b">
        <x:v>1</x:v>
      </x:c>
      <x:c r="AF17" s="42" t="b">
        <x:v>0</x:v>
      </x:c>
      <x:c r="AG17" s="42" t="b">
        <x:v>1</x:v>
      </x:c>
      <x:c r="AH17" s="42" t="b">
        <x:v>0</x:v>
      </x:c>
    </x:row>
    <x:row r="18">
      <x:c r="A18" t="str">
        <x:v>qwen</x:v>
      </x:c>
      <x:c r="B18" t="str">
        <x:v>B10</x:v>
      </x:c>
      <x:c r="C18" t="str">
        <x:v>Rebar</x:v>
      </x:c>
      <x:c r="D18" t="str">
        <x:v>268a11fb-baf2-4b9e-8867-38bea0e76ef6</x:v>
      </x:c>
      <x:c r="E18" t="str">
        <x:v>direct</x:v>
      </x:c>
      <x:c r="F18" s="42" t="b">
        <x:v>1</x:v>
      </x:c>
      <x:c r="G18" s="42" t="b">
        <x:v>1</x:v>
      </x:c>
      <x:c r="H18" s="42" t="b">
        <x:v>1</x:v>
      </x:c>
      <x:c r="I18" s="42" t="b">
        <x:v>1</x:v>
      </x:c>
      <x:c r="J18" s="42" t="b">
        <x:v>1</x:v>
      </x:c>
      <x:c r="K18" t="str">
        <x:v>ok</x:v>
      </x:c>
      <x:c r="L18" t="n">
        <x:v>4.722283384999855</x:v>
      </x:c>
      <x:c r="M18" t="str">
        <x:v>Rebar</x:v>
      </x:c>
      <x:c r="N18" t="str">
        <x:v>268a11fb-baf2-4b9e-8867-38bea0e76ef6</x:v>
      </x:c>
      <x:c r="O18" t="str">
        <x:v>direct</x:v>
      </x:c>
      <x:c r="P18" s="42" t="b">
        <x:v>1</x:v>
      </x:c>
      <x:c r="Q18" s="42" t="b">
        <x:v>1</x:v>
      </x:c>
      <x:c r="R18" s="42" t="b">
        <x:v>1</x:v>
      </x:c>
      <x:c r="S18" s="42" t="b">
        <x:v>1</x:v>
      </x:c>
      <x:c r="T18" s="42" t="b">
        <x:v>1</x:v>
      </x:c>
      <x:c r="U18" t="str">
        <x:v>ok</x:v>
      </x:c>
      <x:c r="V18" t="n">
        <x:v>4.753783384000144</x:v>
      </x:c>
      <x:c r="W18" s="42" t="b">
        <x:v>1</x:v>
      </x:c>
      <x:c r="X18" s="42" t="b">
        <x:v>1</x:v>
      </x:c>
      <x:c r="Y18" s="42" t="b">
        <x:v>1</x:v>
      </x:c>
      <x:c r="Z18" s="42" t="b">
        <x:v>1</x:v>
      </x:c>
      <x:c r="AA18" s="42" t="b">
        <x:v>1</x:v>
      </x:c>
      <x:c r="AB18" s="42" t="b">
        <x:v>1</x:v>
      </x:c>
      <x:c r="AC18" s="42" t="b">
        <x:v>1</x:v>
      </x:c>
      <x:c r="AD18" s="42" t="b">
        <x:v>1</x:v>
      </x:c>
      <x:c r="AE18" s="42" t="b">
        <x:v>1</x:v>
      </x:c>
      <x:c r="AF18" s="42" t="b">
        <x:v>1</x:v>
      </x:c>
      <x:c r="AG18" s="42" t="b">
        <x:v>1</x:v>
      </x:c>
      <x:c r="AH18" s="42" t="b">
        <x:v>1</x:v>
      </x:c>
    </x:row>
    <x:row r="19">
      <x:c r="A19" t="str">
        <x:v>qwen</x:v>
      </x:c>
      <x:c r="B19" t="str">
        <x:v>B11</x:v>
      </x:c>
      <x:c r="C19" t="str">
        <x:v>Binding Wire</x:v>
      </x:c>
      <x:c r="D19" t="str">
        <x:v>11bceac4-b3d8-4048-8e80-b691ecd2c261</x:v>
      </x:c>
      <x:c r="E19" t="str">
        <x:v>direct</x:v>
      </x:c>
      <x:c r="F19" s="42" t="b">
        <x:v>1</x:v>
      </x:c>
      <x:c r="G19" s="42" t="b">
        <x:v>1</x:v>
      </x:c>
      <x:c r="H19" s="42" t="b">
        <x:v>1</x:v>
      </x:c>
      <x:c r="I19" s="42" t="b">
        <x:v>1</x:v>
      </x:c>
      <x:c r="J19" s="42" t="b">
        <x:v>1</x:v>
      </x:c>
      <x:c r="K19" t="str">
        <x:v>ok</x:v>
      </x:c>
      <x:c r="L19" t="n">
        <x:v>6.117415738000091</x:v>
      </x:c>
      <x:c r="M19" t="str">
        <x:v>Binding Wire</x:v>
      </x:c>
      <x:c r="N19" t="str">
        <x:v>11bceac4-b3d8-4048-8e80-b691ecd2c261</x:v>
      </x:c>
      <x:c r="O19" t="str">
        <x:v>direct</x:v>
      </x:c>
      <x:c r="P19" s="42" t="b">
        <x:v>1</x:v>
      </x:c>
      <x:c r="Q19" s="42" t="b">
        <x:v>1</x:v>
      </x:c>
      <x:c r="R19" s="42" t="b">
        <x:v>1</x:v>
      </x:c>
      <x:c r="S19" s="42" t="b">
        <x:v>1</x:v>
      </x:c>
      <x:c r="T19" s="42" t="b">
        <x:v>1</x:v>
      </x:c>
      <x:c r="U19" t="str">
        <x:v>ok</x:v>
      </x:c>
      <x:c r="V19" t="n">
        <x:v>6.096762063999904</x:v>
      </x:c>
      <x:c r="W19" s="42" t="b">
        <x:v>1</x:v>
      </x:c>
      <x:c r="X19" s="42" t="b">
        <x:v>1</x:v>
      </x:c>
      <x:c r="Y19" s="42" t="b">
        <x:v>1</x:v>
      </x:c>
      <x:c r="Z19" s="42" t="b">
        <x:v>1</x:v>
      </x:c>
      <x:c r="AA19" s="42" t="b">
        <x:v>1</x:v>
      </x:c>
      <x:c r="AB19" s="42" t="b">
        <x:v>1</x:v>
      </x:c>
      <x:c r="AC19" s="42" t="b">
        <x:v>1</x:v>
      </x:c>
      <x:c r="AD19" s="42" t="b">
        <x:v>1</x:v>
      </x:c>
      <x:c r="AE19" s="42" t="b">
        <x:v>1</x:v>
      </x:c>
      <x:c r="AF19" s="42" t="b">
        <x:v>1</x:v>
      </x:c>
      <x:c r="AG19" s="42" t="b">
        <x:v>1</x:v>
      </x:c>
      <x:c r="AH19" s="42" t="b">
        <x:v>1</x:v>
      </x:c>
    </x:row>
    <x:row r="20">
      <x:c r="A20" t="str">
        <x:v>qwen</x:v>
      </x:c>
      <x:c r="B20" t="str">
        <x:v>B12</x:v>
      </x:c>
      <x:c r="C20" t="str">
        <x:v>24 Gauge CGI Sheets</x:v>
      </x:c>
      <x:c r="D20" t="str">
        <x:v>7311da1a-673f-96b5-66ef-00004409928e</x:v>
      </x:c>
      <x:c r="E20" t="str">
        <x:v>proxy</x:v>
      </x:c>
      <x:c r="F20" s="42" t="b">
        <x:v>1</x:v>
      </x:c>
      <x:c r="G20" s="42" t="b">
        <x:v>1</x:v>
      </x:c>
      <x:c r="H20" s="42" t="b">
        <x:v>1</x:v>
      </x:c>
      <x:c r="I20" s="42" t="b">
        <x:v>1</x:v>
      </x:c>
      <x:c r="J20" s="42" t="b">
        <x:v>1</x:v>
      </x:c>
      <x:c r="K20" t="str">
        <x:v>ok</x:v>
      </x:c>
      <x:c r="L20" t="n">
        <x:v>4.913030067000136</x:v>
      </x:c>
      <x:c r="M20" t="str">
        <x:v>24 Gauge CGI Sheets</x:v>
      </x:c>
      <x:c r="N20" t="str">
        <x:v>7311da1a-673f-96b5-66ef-00004409928e</x:v>
      </x:c>
      <x:c r="O20" t="str">
        <x:v>proxy</x:v>
      </x:c>
      <x:c r="P20" s="42" t="b">
        <x:v>1</x:v>
      </x:c>
      <x:c r="Q20" s="42" t="b">
        <x:v>1</x:v>
      </x:c>
      <x:c r="R20" s="42" t="b">
        <x:v>1</x:v>
      </x:c>
      <x:c r="S20" s="42" t="b">
        <x:v>1</x:v>
      </x:c>
      <x:c r="T20" s="42" t="b">
        <x:v>1</x:v>
      </x:c>
      <x:c r="U20" t="str">
        <x:v>ok</x:v>
      </x:c>
      <x:c r="V20" t="n">
        <x:v>5.033522346000154</x:v>
      </x:c>
      <x:c r="W20" s="42" t="b">
        <x:v>1</x:v>
      </x:c>
      <x:c r="X20" s="42" t="b">
        <x:v>1</x:v>
      </x:c>
      <x:c r="Y20" s="42" t="b">
        <x:v>1</x:v>
      </x:c>
      <x:c r="Z20" s="42" t="b">
        <x:v>1</x:v>
      </x:c>
      <x:c r="AA20" s="42" t="b">
        <x:v>1</x:v>
      </x:c>
      <x:c r="AB20" s="42" t="b">
        <x:v>1</x:v>
      </x:c>
      <x:c r="AC20" s="42" t="b">
        <x:v>1</x:v>
      </x:c>
      <x:c r="AD20" s="42" t="b">
        <x:v>1</x:v>
      </x:c>
      <x:c r="AE20" s="42" t="b">
        <x:v>1</x:v>
      </x:c>
      <x:c r="AF20" s="42" t="b">
        <x:v>1</x:v>
      </x:c>
      <x:c r="AG20" s="42" t="b">
        <x:v>1</x:v>
      </x:c>
      <x:c r="AH20" s="42" t="b">
        <x:v>1</x:v>
      </x:c>
    </x:row>
    <x:row r="21">
      <x:c r="A21" t="str">
        <x:v>qwen</x:v>
      </x:c>
      <x:c r="B21" t="str">
        <x:v>A01</x:v>
      </x:c>
      <x:c r="C21" t="str">
        <x:v>Cement</x:v>
      </x:c>
      <x:c r="D21" t="str">
        <x:v>600573dd-dfa5-44e5-b458-8727e793ffd7</x:v>
      </x:c>
      <x:c r="E21" t="str">
        <x:v>direct</x:v>
      </x:c>
      <x:c r="F21" s="42" t="b">
        <x:v>1</x:v>
      </x:c>
      <x:c r="G21" s="42" t="b">
        <x:v>1</x:v>
      </x:c>
      <x:c r="H21" s="42" t="b">
        <x:v>1</x:v>
      </x:c>
      <x:c r="I21" s="42" t="b">
        <x:v>1</x:v>
      </x:c>
      <x:c r="J21" s="42" t="b">
        <x:v>1</x:v>
      </x:c>
      <x:c r="K21" t="str">
        <x:v>ok</x:v>
      </x:c>
      <x:c r="L21" t="n">
        <x:v>4.751639589999968</x:v>
      </x:c>
      <x:c r="M21" t="str">
        <x:v>Cement</x:v>
      </x:c>
      <x:c r="N21" t="str">
        <x:v>600573dd-dfa5-44e5-b458-8727e793ffd7</x:v>
      </x:c>
      <x:c r="O21" t="str">
        <x:v>direct</x:v>
      </x:c>
      <x:c r="P21" s="42" t="b">
        <x:v>1</x:v>
      </x:c>
      <x:c r="Q21" s="42" t="b">
        <x:v>1</x:v>
      </x:c>
      <x:c r="R21" s="42" t="b">
        <x:v>1</x:v>
      </x:c>
      <x:c r="S21" s="42" t="b">
        <x:v>1</x:v>
      </x:c>
      <x:c r="T21" s="42" t="b">
        <x:v>1</x:v>
      </x:c>
      <x:c r="U21" t="str">
        <x:v>ok</x:v>
      </x:c>
      <x:c r="V21" t="n">
        <x:v>4.175684314000137</x:v>
      </x:c>
      <x:c r="W21" s="42" t="b">
        <x:v>1</x:v>
      </x:c>
      <x:c r="X21" s="42" t="b">
        <x:v>1</x:v>
      </x:c>
      <x:c r="Y21" s="42" t="b">
        <x:v>1</x:v>
      </x:c>
      <x:c r="Z21" s="42" t="b">
        <x:v>1</x:v>
      </x:c>
      <x:c r="AA21" s="42" t="b">
        <x:v>1</x:v>
      </x:c>
      <x:c r="AB21" s="42" t="b">
        <x:v>1</x:v>
      </x:c>
      <x:c r="AC21" s="42" t="b">
        <x:v>1</x:v>
      </x:c>
      <x:c r="AD21" s="42" t="b">
        <x:v>1</x:v>
      </x:c>
      <x:c r="AE21" s="42" t="b">
        <x:v>1</x:v>
      </x:c>
      <x:c r="AF21" s="42" t="b">
        <x:v>1</x:v>
      </x:c>
      <x:c r="AG21" s="42" t="b">
        <x:v>1</x:v>
      </x:c>
      <x:c r="AH21" s="42" t="b">
        <x:v>1</x:v>
      </x:c>
    </x:row>
    <x:row r="22">
      <x:c r="A22" t="str">
        <x:v>qwen</x:v>
      </x:c>
      <x:c r="B22" t="str">
        <x:v>A03</x:v>
      </x:c>
      <x:c r="C22" t="str">
        <x:v>Natural Gravel</x:v>
      </x:c>
      <x:c r="D22" t="str">
        <x:v>898618b2-3306-11dd-bd11-0800200c9a66</x:v>
      </x:c>
      <x:c r="E22" t="str">
        <x:v>direct</x:v>
      </x:c>
      <x:c r="F22" s="42" t="b">
        <x:v>1</x:v>
      </x:c>
      <x:c r="G22" s="42" t="b">
        <x:v>1</x:v>
      </x:c>
      <x:c r="H22" s="42" t="b">
        <x:v>1</x:v>
      </x:c>
      <x:c r="I22" s="42" t="b">
        <x:v>1</x:v>
      </x:c>
      <x:c r="J22" s="42" t="b">
        <x:v>1</x:v>
      </x:c>
      <x:c r="K22" t="str">
        <x:v>ok</x:v>
      </x:c>
      <x:c r="L22" t="n">
        <x:v>4.345095556999922</x:v>
      </x:c>
      <x:c r="M22" t="str">
        <x:v>Natural Gravel</x:v>
      </x:c>
      <x:c r="N22" t="str">
        <x:v>898618b2-3306-11dd-bd11-0800200c9a66</x:v>
      </x:c>
      <x:c r="O22" t="str">
        <x:v>direct</x:v>
      </x:c>
      <x:c r="P22" s="42" t="b">
        <x:v>1</x:v>
      </x:c>
      <x:c r="Q22" s="42" t="b">
        <x:v>1</x:v>
      </x:c>
      <x:c r="R22" s="42" t="b">
        <x:v>1</x:v>
      </x:c>
      <x:c r="S22" s="42" t="b">
        <x:v>1</x:v>
      </x:c>
      <x:c r="T22" s="42" t="b">
        <x:v>1</x:v>
      </x:c>
      <x:c r="U22" t="str">
        <x:v>ok</x:v>
      </x:c>
      <x:c r="V22" t="n">
        <x:v>4.361130911000146</x:v>
      </x:c>
      <x:c r="W22" s="42" t="b">
        <x:v>1</x:v>
      </x:c>
      <x:c r="X22" s="42" t="b">
        <x:v>1</x:v>
      </x:c>
      <x:c r="Y22" s="42" t="b">
        <x:v>1</x:v>
      </x:c>
      <x:c r="Z22" s="42" t="b">
        <x:v>1</x:v>
      </x:c>
      <x:c r="AA22" s="42" t="b">
        <x:v>1</x:v>
      </x:c>
      <x:c r="AB22" s="42" t="b">
        <x:v>1</x:v>
      </x:c>
      <x:c r="AC22" s="42" t="b">
        <x:v>1</x:v>
      </x:c>
      <x:c r="AD22" s="42" t="b">
        <x:v>1</x:v>
      </x:c>
      <x:c r="AE22" s="42" t="b">
        <x:v>1</x:v>
      </x:c>
      <x:c r="AF22" s="42" t="b">
        <x:v>1</x:v>
      </x:c>
      <x:c r="AG22" s="42" t="b">
        <x:v>1</x:v>
      </x:c>
      <x:c r="AH22" s="42" t="b">
        <x:v>1</x:v>
      </x:c>
    </x:row>
    <x:row r="23">
      <x:c r="A23" t="str">
        <x:v>qwen</x:v>
      </x:c>
      <x:c r="B23" t="str">
        <x:v>A04</x:v>
      </x:c>
      <x:c r="C23" t="str">
        <x:v>Soil Blocks</x:v>
      </x:c>
      <x:c r="D23" t="str">
        <x:v>898618b7-3306-11dd-bd11-0800200c9a66</x:v>
      </x:c>
      <x:c r="E23" t="str">
        <x:v>proxy</x:v>
      </x:c>
      <x:c r="F23" s="42" t="b">
        <x:v>1</x:v>
      </x:c>
      <x:c r="G23" s="42" t="b">
        <x:v>1</x:v>
      </x:c>
      <x:c r="H23" s="42" t="b">
        <x:v>1</x:v>
      </x:c>
      <x:c r="I23" s="42" t="b">
        <x:v>1</x:v>
      </x:c>
      <x:c r="J23" s="42" t="b">
        <x:v>1</x:v>
      </x:c>
      <x:c r="K23" t="str">
        <x:v>ok</x:v>
      </x:c>
      <x:c r="L23" t="n">
        <x:v>4.978512851000005</x:v>
      </x:c>
      <x:c r="M23" t="str">
        <x:v>Soil Blocks</x:v>
      </x:c>
      <x:c r="N23" t="str">
        <x:v>898618b7-3306-11dd-bd11-0800200c9a66</x:v>
      </x:c>
      <x:c r="O23" t="str">
        <x:v>proxy</x:v>
      </x:c>
      <x:c r="P23" s="42" t="b">
        <x:v>1</x:v>
      </x:c>
      <x:c r="Q23" s="42" t="b">
        <x:v>1</x:v>
      </x:c>
      <x:c r="R23" s="42" t="b">
        <x:v>1</x:v>
      </x:c>
      <x:c r="S23" s="42" t="b">
        <x:v>1</x:v>
      </x:c>
      <x:c r="T23" s="42" t="b">
        <x:v>1</x:v>
      </x:c>
      <x:c r="U23" t="str">
        <x:v>ok</x:v>
      </x:c>
      <x:c r="V23" t="n">
        <x:v>4.444406573999913</x:v>
      </x:c>
      <x:c r="W23" s="42" t="b">
        <x:v>1</x:v>
      </x:c>
      <x:c r="X23" s="42" t="b">
        <x:v>1</x:v>
      </x:c>
      <x:c r="Y23" s="42" t="b">
        <x:v>1</x:v>
      </x:c>
      <x:c r="Z23" s="42" t="b">
        <x:v>1</x:v>
      </x:c>
      <x:c r="AA23" s="42" t="b">
        <x:v>1</x:v>
      </x:c>
      <x:c r="AB23" s="42" t="b">
        <x:v>1</x:v>
      </x:c>
      <x:c r="AC23" s="42" t="b">
        <x:v>1</x:v>
      </x:c>
      <x:c r="AD23" s="42" t="b">
        <x:v>1</x:v>
      </x:c>
      <x:c r="AE23" s="42" t="b">
        <x:v>1</x:v>
      </x:c>
      <x:c r="AF23" s="42" t="b">
        <x:v>1</x:v>
      </x:c>
      <x:c r="AG23" s="42" t="b">
        <x:v>1</x:v>
      </x:c>
      <x:c r="AH23" s="42" t="b">
        <x:v>1</x:v>
      </x:c>
    </x:row>
    <x:row r="24">
      <x:c r="A24" t="str">
        <x:v>qwen</x:v>
      </x:c>
      <x:c r="B24" t="str">
        <x:v>A08</x:v>
      </x:c>
      <x:c r="C24" t="str">
        <x:v>Soil</x:v>
      </x:c>
      <x:c r="D24"/>
      <x:c r="E24" t="str">
        <x:v>review_required</x:v>
      </x:c>
      <x:c r="F24" s="42" t="b">
        <x:v>1</x:v>
      </x:c>
      <x:c r="G24" s="42" t="b">
        <x:v>1</x:v>
      </x:c>
      <x:c r="H24" s="42" t="b">
        <x:v>1</x:v>
      </x:c>
      <x:c r="I24" s="42" t="b">
        <x:v>1</x:v>
      </x:c>
      <x:c r="J24" s="42" t="b">
        <x:v>1</x:v>
      </x:c>
      <x:c r="K24" t="str">
        <x:v>ok</x:v>
      </x:c>
      <x:c r="L24" t="n">
        <x:v>2.420821728999954</x:v>
      </x:c>
      <x:c r="M24" t="str">
        <x:v>Soil</x:v>
      </x:c>
      <x:c r="N24"/>
      <x:c r="O24" t="str">
        <x:v>review_required</x:v>
      </x:c>
      <x:c r="P24" s="42" t="b">
        <x:v>1</x:v>
      </x:c>
      <x:c r="Q24" s="42" t="b">
        <x:v>1</x:v>
      </x:c>
      <x:c r="R24" s="42" t="b">
        <x:v>1</x:v>
      </x:c>
      <x:c r="S24" s="42" t="b">
        <x:v>1</x:v>
      </x:c>
      <x:c r="T24" s="42" t="b">
        <x:v>1</x:v>
      </x:c>
      <x:c r="U24" t="str">
        <x:v>ok</x:v>
      </x:c>
      <x:c r="V24" t="n">
        <x:v>2.407397656000057</x:v>
      </x:c>
      <x:c r="W24" s="42" t="b">
        <x:v>1</x:v>
      </x:c>
      <x:c r="X24" s="42" t="b">
        <x:v>1</x:v>
      </x:c>
      <x:c r="Y24" s="42" t="b">
        <x:v>1</x:v>
      </x:c>
      <x:c r="Z24" s="42" t="b">
        <x:v>1</x:v>
      </x:c>
      <x:c r="AA24" s="42" t="b">
        <x:v>1</x:v>
      </x:c>
      <x:c r="AB24" s="42" t="b">
        <x:v>1</x:v>
      </x:c>
      <x:c r="AC24" s="42" t="b">
        <x:v>1</x:v>
      </x:c>
      <x:c r="AD24" s="42" t="b">
        <x:v>1</x:v>
      </x:c>
      <x:c r="AE24" s="42" t="b">
        <x:v>1</x:v>
      </x:c>
      <x:c r="AF24" s="42" t="b">
        <x:v>1</x:v>
      </x:c>
      <x:c r="AG24" s="42" t="b">
        <x:v>1</x:v>
      </x:c>
      <x:c r="AH24" s="42" t="b">
        <x:v>1</x:v>
      </x:c>
    </x:row>
    <x:row r="25">
      <x:c r="A25" t="str">
        <x:v>qwen</x:v>
      </x:c>
      <x:c r="B25" t="str">
        <x:v>A09</x:v>
      </x:c>
      <x:c r="C25" t="str">
        <x:v>CGI Sheets</x:v>
      </x:c>
      <x:c r="D25" t="str">
        <x:v>7311da1a-673f-96b5-66ef-00004409928e</x:v>
      </x:c>
      <x:c r="E25" t="str">
        <x:v>proxy</x:v>
      </x:c>
      <x:c r="F25" s="42" t="b">
        <x:v>1</x:v>
      </x:c>
      <x:c r="G25" s="42" t="b">
        <x:v>1</x:v>
      </x:c>
      <x:c r="H25" s="42" t="b">
        <x:v>1</x:v>
      </x:c>
      <x:c r="I25" s="42" t="b">
        <x:v>1</x:v>
      </x:c>
      <x:c r="J25" s="42" t="b">
        <x:v>1</x:v>
      </x:c>
      <x:c r="K25" t="str">
        <x:v>ok</x:v>
      </x:c>
      <x:c r="L25" t="n">
        <x:v>4.631753277000143</x:v>
      </x:c>
      <x:c r="M25" t="str">
        <x:v>CGI Sheets</x:v>
      </x:c>
      <x:c r="N25" t="str">
        <x:v>7311da1a-673f-96b5-66ef-00004409928e</x:v>
      </x:c>
      <x:c r="O25" t="str">
        <x:v>proxy</x:v>
      </x:c>
      <x:c r="P25" s="42" t="b">
        <x:v>1</x:v>
      </x:c>
      <x:c r="Q25" s="42" t="b">
        <x:v>1</x:v>
      </x:c>
      <x:c r="R25" s="42" t="b">
        <x:v>1</x:v>
      </x:c>
      <x:c r="S25" s="42" t="b">
        <x:v>1</x:v>
      </x:c>
      <x:c r="T25" s="42" t="b">
        <x:v>1</x:v>
      </x:c>
      <x:c r="U25" t="str">
        <x:v>ok</x:v>
      </x:c>
      <x:c r="V25" t="n">
        <x:v>4.379405805000033</x:v>
      </x:c>
      <x:c r="W25" s="42" t="b">
        <x:v>1</x:v>
      </x:c>
      <x:c r="X25" s="42" t="b">
        <x:v>1</x:v>
      </x:c>
      <x:c r="Y25" s="42" t="b">
        <x:v>1</x:v>
      </x:c>
      <x:c r="Z25" s="42" t="b">
        <x:v>1</x:v>
      </x:c>
      <x:c r="AA25" s="42" t="b">
        <x:v>1</x:v>
      </x:c>
      <x:c r="AB25" s="42" t="b">
        <x:v>1</x:v>
      </x:c>
      <x:c r="AC25" s="42" t="b">
        <x:v>1</x:v>
      </x:c>
      <x:c r="AD25" s="42" t="b">
        <x:v>1</x:v>
      </x:c>
      <x:c r="AE25" s="42" t="b">
        <x:v>1</x:v>
      </x:c>
      <x:c r="AF25" s="42" t="b">
        <x:v>1</x:v>
      </x:c>
      <x:c r="AG25" s="42" t="b">
        <x:v>1</x:v>
      </x:c>
      <x:c r="AH25" s="42" t="b">
        <x:v>1</x:v>
      </x:c>
    </x:row>
    <x:row r="26">
      <x:c r="A26" t="str">
        <x:v>deepseek</x:v>
      </x:c>
      <x:c r="B26" t="str">
        <x:v>S01</x:v>
      </x:c>
      <x:c r="C26" t="str">
        <x:v>Ordinary Portland Cement (OPC 43-grade)</x:v>
      </x:c>
      <x:c r="D26" t="str">
        <x:v>89863fcf-3306-11dd-bd11-0800200c9a66</x:v>
      </x:c>
      <x:c r="E26" t="str">
        <x:v>direct</x:v>
      </x:c>
      <x:c r="F26" s="42" t="b">
        <x:v>1</x:v>
      </x:c>
      <x:c r="G26" s="42" t="b">
        <x:v>1</x:v>
      </x:c>
      <x:c r="H26" s="42" t="b">
        <x:v>1</x:v>
      </x:c>
      <x:c r="I26" s="42" t="b">
        <x:v>1</x:v>
      </x:c>
      <x:c r="J26" s="42" t="b">
        <x:v>1</x:v>
      </x:c>
      <x:c r="K26" t="str">
        <x:v>ok</x:v>
      </x:c>
      <x:c r="L26" t="n">
        <x:v>8.57371975199976</x:v>
      </x:c>
      <x:c r="M26" t="str">
        <x:v>Ordinary Portland Cement (OPC 43-grade)</x:v>
      </x:c>
      <x:c r="N26" t="str">
        <x:v>89863fcf-3306-11dd-bd11-0800200c9a66</x:v>
      </x:c>
      <x:c r="O26" t="str">
        <x:v>direct</x:v>
      </x:c>
      <x:c r="P26" s="42" t="b">
        <x:v>1</x:v>
      </x:c>
      <x:c r="Q26" s="42" t="b">
        <x:v>1</x:v>
      </x:c>
      <x:c r="R26" s="42" t="b">
        <x:v>1</x:v>
      </x:c>
      <x:c r="S26" s="42" t="b">
        <x:v>1</x:v>
      </x:c>
      <x:c r="T26" s="42" t="b">
        <x:v>1</x:v>
      </x:c>
      <x:c r="U26" t="str">
        <x:v>ok</x:v>
      </x:c>
      <x:c r="V26" t="n">
        <x:v>7.900244765000025</x:v>
      </x:c>
      <x:c r="W26" s="42" t="b">
        <x:v>1</x:v>
      </x:c>
      <x:c r="X26" s="42" t="b">
        <x:v>1</x:v>
      </x:c>
      <x:c r="Y26" s="42" t="b">
        <x:v>1</x:v>
      </x:c>
      <x:c r="Z26" s="42" t="b">
        <x:v>1</x:v>
      </x:c>
      <x:c r="AA26" s="42" t="b">
        <x:v>1</x:v>
      </x:c>
      <x:c r="AB26" s="42" t="b">
        <x:v>1</x:v>
      </x:c>
      <x:c r="AC26" s="42" t="b">
        <x:v>1</x:v>
      </x:c>
      <x:c r="AD26" s="42" t="b">
        <x:v>1</x:v>
      </x:c>
      <x:c r="AE26" s="42" t="b">
        <x:v>1</x:v>
      </x:c>
      <x:c r="AF26" s="42" t="b">
        <x:v>1</x:v>
      </x:c>
      <x:c r="AG26" s="42" t="b">
        <x:v>1</x:v>
      </x:c>
      <x:c r="AH26" s="42" t="b">
        <x:v>1</x:v>
      </x:c>
    </x:row>
    <x:row r="27">
      <x:c r="A27" t="str">
        <x:v>deepseek</x:v>
      </x:c>
      <x:c r="B27" t="str">
        <x:v>S11</x:v>
      </x:c>
      <x:c r="C27" t="str">
        <x:v>Plaster 1:4</x:v>
      </x:c>
      <x:c r="D27" t="str">
        <x:v>da78eea3-ead1-4379-80af-14a991a2a746</x:v>
      </x:c>
      <x:c r="E27" t="str">
        <x:v>direct</x:v>
      </x:c>
      <x:c r="F27" s="42" t="b">
        <x:v>1</x:v>
      </x:c>
      <x:c r="G27" s="42" t="b">
        <x:v>1</x:v>
      </x:c>
      <x:c r="H27" s="42" t="b">
        <x:v>1</x:v>
      </x:c>
      <x:c r="I27" s="42" t="b">
        <x:v>1</x:v>
      </x:c>
      <x:c r="J27" s="42" t="b">
        <x:v>1</x:v>
      </x:c>
      <x:c r="K27" t="str">
        <x:v>ok</x:v>
      </x:c>
      <x:c r="L27" t="n">
        <x:v>7.23221348900006</x:v>
      </x:c>
      <x:c r="M27" t="str">
        <x:v>Plaster 1:4</x:v>
      </x:c>
      <x:c r="N27" t="str">
        <x:v>da78eea3-ead1-4379-80af-14a991a2a746</x:v>
      </x:c>
      <x:c r="O27" t="str">
        <x:v>direct</x:v>
      </x:c>
      <x:c r="P27" s="42" t="b">
        <x:v>1</x:v>
      </x:c>
      <x:c r="Q27" s="42" t="b">
        <x:v>1</x:v>
      </x:c>
      <x:c r="R27" s="42" t="b">
        <x:v>1</x:v>
      </x:c>
      <x:c r="S27" s="42" t="b">
        <x:v>1</x:v>
      </x:c>
      <x:c r="T27" s="42" t="b">
        <x:v>1</x:v>
      </x:c>
      <x:c r="U27" t="str">
        <x:v>ok</x:v>
      </x:c>
      <x:c r="V27" t="n">
        <x:v>7.299976251999851</x:v>
      </x:c>
      <x:c r="W27" s="42" t="b">
        <x:v>1</x:v>
      </x:c>
      <x:c r="X27" s="42" t="b">
        <x:v>1</x:v>
      </x:c>
      <x:c r="Y27" s="42" t="b">
        <x:v>1</x:v>
      </x:c>
      <x:c r="Z27" s="42" t="b">
        <x:v>1</x:v>
      </x:c>
      <x:c r="AA27" s="42" t="b">
        <x:v>1</x:v>
      </x:c>
      <x:c r="AB27" s="42" t="b">
        <x:v>1</x:v>
      </x:c>
      <x:c r="AC27" s="42" t="b">
        <x:v>1</x:v>
      </x:c>
      <x:c r="AD27" s="42" t="b">
        <x:v>1</x:v>
      </x:c>
      <x:c r="AE27" s="42" t="b">
        <x:v>1</x:v>
      </x:c>
      <x:c r="AF27" s="42" t="b">
        <x:v>1</x:v>
      </x:c>
      <x:c r="AG27" s="42" t="b">
        <x:v>1</x:v>
      </x:c>
      <x:c r="AH27" s="42" t="b">
        <x:v>1</x:v>
      </x:c>
    </x:row>
    <x:row r="28">
      <x:c r="A28" t="str">
        <x:v>deepseek</x:v>
      </x:c>
      <x:c r="B28" t="str">
        <x:v>B05</x:v>
      </x:c>
      <x:c r="C28" t="str">
        <x:v>Soil</x:v>
      </x:c>
      <x:c r="D28" t="str">
        <x:v>e3cd6a07-b8b5-46dd-881b-2b77f6c3f27c</x:v>
      </x:c>
      <x:c r="E28" t="str">
        <x:v>direct</x:v>
      </x:c>
      <x:c r="F28" s="42" t="b">
        <x:v>1</x:v>
      </x:c>
      <x:c r="G28" s="42" t="b">
        <x:v>1</x:v>
      </x:c>
      <x:c r="H28" s="42" t="b">
        <x:v>1</x:v>
      </x:c>
      <x:c r="I28" s="42" t="b">
        <x:v>1</x:v>
      </x:c>
      <x:c r="J28" s="42" t="b">
        <x:v>1</x:v>
      </x:c>
      <x:c r="K28" t="str">
        <x:v>ok</x:v>
      </x:c>
      <x:c r="L28" t="n">
        <x:v>7.682358827999906</x:v>
      </x:c>
      <x:c r="M28" t="str">
        <x:v>Soil</x:v>
      </x:c>
      <x:c r="N28" t="str">
        <x:v>e3cd6a07-b8b5-46dd-881b-2b77f6c3f27c</x:v>
      </x:c>
      <x:c r="O28" t="str">
        <x:v>direct</x:v>
      </x:c>
      <x:c r="P28" s="42" t="b">
        <x:v>1</x:v>
      </x:c>
      <x:c r="Q28" s="42" t="b">
        <x:v>1</x:v>
      </x:c>
      <x:c r="R28" s="42" t="b">
        <x:v>1</x:v>
      </x:c>
      <x:c r="S28" s="42" t="b">
        <x:v>1</x:v>
      </x:c>
      <x:c r="T28" s="42" t="b">
        <x:v>1</x:v>
      </x:c>
      <x:c r="U28" t="str">
        <x:v>ok</x:v>
      </x:c>
      <x:c r="V28" t="n">
        <x:v>7.809002045000398</x:v>
      </x:c>
      <x:c r="W28" s="42" t="b">
        <x:v>1</x:v>
      </x:c>
      <x:c r="X28" s="42" t="b">
        <x:v>1</x:v>
      </x:c>
      <x:c r="Y28" s="42" t="b">
        <x:v>1</x:v>
      </x:c>
      <x:c r="Z28" s="42" t="b">
        <x:v>1</x:v>
      </x:c>
      <x:c r="AA28" s="42" t="b">
        <x:v>1</x:v>
      </x:c>
      <x:c r="AB28" s="42" t="b">
        <x:v>1</x:v>
      </x:c>
      <x:c r="AC28" s="42" t="b">
        <x:v>1</x:v>
      </x:c>
      <x:c r="AD28" s="42" t="b">
        <x:v>1</x:v>
      </x:c>
      <x:c r="AE28" s="42" t="b">
        <x:v>1</x:v>
      </x:c>
      <x:c r="AF28" s="42" t="b">
        <x:v>1</x:v>
      </x:c>
      <x:c r="AG28" s="42" t="b">
        <x:v>1</x:v>
      </x:c>
      <x:c r="AH28" s="42" t="b">
        <x:v>1</x:v>
      </x:c>
    </x:row>
    <x:row r="29">
      <x:c r="A29" t="str">
        <x:v>deepseek</x:v>
      </x:c>
      <x:c r="B29" t="str">
        <x:v>B06</x:v>
      </x:c>
      <x:c r="C29" t="str">
        <x:v>Local Wood</x:v>
      </x:c>
      <x:c r="D29" t="str">
        <x:v>2b61a4d6-bd1d-4ea3-828c-fdbdf5fca1f9</x:v>
      </x:c>
      <x:c r="E29" t="str">
        <x:v>direct</x:v>
      </x:c>
      <x:c r="F29" s="42" t="b">
        <x:v>1</x:v>
      </x:c>
      <x:c r="G29" s="42" t="b">
        <x:v>1</x:v>
      </x:c>
      <x:c r="H29" s="42" t="b">
        <x:v>1</x:v>
      </x:c>
      <x:c r="I29" s="42" t="b">
        <x:v>1</x:v>
      </x:c>
      <x:c r="J29" s="42" t="b">
        <x:v>1</x:v>
      </x:c>
      <x:c r="K29" t="str">
        <x:v>ok</x:v>
      </x:c>
      <x:c r="L29" t="n">
        <x:v>6.788232761000017</x:v>
      </x:c>
      <x:c r="M29" t="str">
        <x:v>Local Wood</x:v>
      </x:c>
      <x:c r="N29" t="str">
        <x:v>2b61a4d6-bd1d-4ea3-828c-fdbdf5fca1f9</x:v>
      </x:c>
      <x:c r="O29" t="str">
        <x:v>direct</x:v>
      </x:c>
      <x:c r="P29" s="42" t="b">
        <x:v>1</x:v>
      </x:c>
      <x:c r="Q29" s="42" t="b">
        <x:v>1</x:v>
      </x:c>
      <x:c r="R29" s="42" t="b">
        <x:v>1</x:v>
      </x:c>
      <x:c r="S29" s="42" t="b">
        <x:v>1</x:v>
      </x:c>
      <x:c r="T29" s="42" t="b">
        <x:v>1</x:v>
      </x:c>
      <x:c r="U29" t="str">
        <x:v>ok</x:v>
      </x:c>
      <x:c r="V29" t="n">
        <x:v>7.525025577999713</x:v>
      </x:c>
      <x:c r="W29" s="42" t="b">
        <x:v>1</x:v>
      </x:c>
      <x:c r="X29" s="42" t="b">
        <x:v>1</x:v>
      </x:c>
      <x:c r="Y29" s="42" t="b">
        <x:v>1</x:v>
      </x:c>
      <x:c r="Z29" s="42" t="b">
        <x:v>1</x:v>
      </x:c>
      <x:c r="AA29" s="42" t="b">
        <x:v>1</x:v>
      </x:c>
      <x:c r="AB29" s="42" t="b">
        <x:v>1</x:v>
      </x:c>
      <x:c r="AC29" s="42" t="b">
        <x:v>1</x:v>
      </x:c>
      <x:c r="AD29" s="42" t="b">
        <x:v>1</x:v>
      </x:c>
      <x:c r="AE29" s="42" t="b">
        <x:v>1</x:v>
      </x:c>
      <x:c r="AF29" s="42" t="b">
        <x:v>1</x:v>
      </x:c>
      <x:c r="AG29" s="42" t="b">
        <x:v>1</x:v>
      </x:c>
      <x:c r="AH29" s="42" t="b">
        <x:v>1</x:v>
      </x:c>
    </x:row>
    <x:row r="30">
      <x:c r="A30" t="str">
        <x:v>deepseek</x:v>
      </x:c>
      <x:c r="B30" t="str">
        <x:v>B10</x:v>
      </x:c>
      <x:c r="C30" t="str">
        <x:v>7mm Rebar</x:v>
      </x:c>
      <x:c r="D30"/>
      <x:c r="E30" t="str">
        <x:v>direct</x:v>
      </x:c>
      <x:c r="F30" s="42" t="b">
        <x:v>0</x:v>
      </x:c>
      <x:c r="G30" s="42" t="b">
        <x:v>0</x:v>
      </x:c>
      <x:c r="H30" s="42" t="b">
        <x:v>1</x:v>
      </x:c>
      <x:c r="I30" s="42" t="b">
        <x:v>0</x:v>
      </x:c>
      <x:c r="J30" s="42" t="b">
        <x:v>1</x:v>
      </x:c>
      <x:c r="K30" t="str">
        <x:v>invalid_ranking</x:v>
      </x:c>
      <x:c r="L30" t="n">
        <x:v>4.317690679999941</x:v>
      </x:c>
      <x:c r="M30" t="str">
        <x:v>7mm Rebar</x:v>
      </x:c>
      <x:c r="N30"/>
      <x:c r="O30" t="str">
        <x:v>direct</x:v>
      </x:c>
      <x:c r="P30" s="42" t="b">
        <x:v>0</x:v>
      </x:c>
      <x:c r="Q30" s="42" t="b">
        <x:v>0</x:v>
      </x:c>
      <x:c r="R30" s="42" t="b">
        <x:v>1</x:v>
      </x:c>
      <x:c r="S30" s="42" t="b">
        <x:v>0</x:v>
      </x:c>
      <x:c r="T30" s="42" t="b">
        <x:v>1</x:v>
      </x:c>
      <x:c r="U30" t="str">
        <x:v>invalid_ranking</x:v>
      </x:c>
      <x:c r="V30" t="n">
        <x:v>5.293886724000004</x:v>
      </x:c>
      <x:c r="W30" s="42" t="b">
        <x:v>1</x:v>
      </x:c>
      <x:c r="X30" s="42" t="b">
        <x:v>0</x:v>
      </x:c>
      <x:c r="Y30" s="42" t="b">
        <x:v>1</x:v>
      </x:c>
      <x:c r="Z30" s="42" t="b">
        <x:v>0</x:v>
      </x:c>
      <x:c r="AA30" s="42" t="b">
        <x:v>1</x:v>
      </x:c>
      <x:c r="AB30" s="42" t="b">
        <x:v>1</x:v>
      </x:c>
      <x:c r="AC30" s="42" t="b">
        <x:v>1</x:v>
      </x:c>
      <x:c r="AD30" s="42" t="b">
        <x:v>1</x:v>
      </x:c>
      <x:c r="AE30" s="42" t="b">
        <x:v>1</x:v>
      </x:c>
      <x:c r="AF30" s="42" t="b">
        <x:v>0</x:v>
      </x:c>
      <x:c r="AG30" s="42" t="b">
        <x:v>1</x:v>
      </x:c>
      <x:c r="AH30" s="42" t="b">
        <x:v>0</x:v>
      </x:c>
    </x:row>
    <x:row r="31">
      <x:c r="A31" t="str">
        <x:v>deepseek</x:v>
      </x:c>
      <x:c r="B31" t="str">
        <x:v>B11</x:v>
      </x:c>
      <x:c r="C31" t="str">
        <x:v>Binding Wire</x:v>
      </x:c>
      <x:c r="D31" t="str">
        <x:v>11bceac4-b3d8-4048-8e80-b691ecd2c261</x:v>
      </x:c>
      <x:c r="E31" t="str">
        <x:v>direct</x:v>
      </x:c>
      <x:c r="F31" s="42" t="b">
        <x:v>1</x:v>
      </x:c>
      <x:c r="G31" s="42" t="b">
        <x:v>1</x:v>
      </x:c>
      <x:c r="H31" s="42" t="b">
        <x:v>1</x:v>
      </x:c>
      <x:c r="I31" s="42" t="b">
        <x:v>1</x:v>
      </x:c>
      <x:c r="J31" s="42" t="b">
        <x:v>1</x:v>
      </x:c>
      <x:c r="K31" t="str">
        <x:v>ok</x:v>
      </x:c>
      <x:c r="L31" t="n">
        <x:v>7.613526100999934</x:v>
      </x:c>
      <x:c r="M31" t="str">
        <x:v>Binding Wire</x:v>
      </x:c>
      <x:c r="N31" t="str">
        <x:v>11bceac4-b3d8-4048-8e80-b691ecd2c261</x:v>
      </x:c>
      <x:c r="O31" t="str">
        <x:v>direct</x:v>
      </x:c>
      <x:c r="P31" s="42" t="b">
        <x:v>1</x:v>
      </x:c>
      <x:c r="Q31" s="42" t="b">
        <x:v>1</x:v>
      </x:c>
      <x:c r="R31" s="42" t="b">
        <x:v>1</x:v>
      </x:c>
      <x:c r="S31" s="42" t="b">
        <x:v>1</x:v>
      </x:c>
      <x:c r="T31" s="42" t="b">
        <x:v>1</x:v>
      </x:c>
      <x:c r="U31" t="str">
        <x:v>ok</x:v>
      </x:c>
      <x:c r="V31" t="n">
        <x:v>7.18458014900034</x:v>
      </x:c>
      <x:c r="W31" s="42" t="b">
        <x:v>1</x:v>
      </x:c>
      <x:c r="X31" s="42" t="b">
        <x:v>1</x:v>
      </x:c>
      <x:c r="Y31" s="42" t="b">
        <x:v>1</x:v>
      </x:c>
      <x:c r="Z31" s="42" t="b">
        <x:v>1</x:v>
      </x:c>
      <x:c r="AA31" s="42" t="b">
        <x:v>1</x:v>
      </x:c>
      <x:c r="AB31" s="42" t="b">
        <x:v>1</x:v>
      </x:c>
      <x:c r="AC31" s="42" t="b">
        <x:v>1</x:v>
      </x:c>
      <x:c r="AD31" s="42" t="b">
        <x:v>1</x:v>
      </x:c>
      <x:c r="AE31" s="42" t="b">
        <x:v>1</x:v>
      </x:c>
      <x:c r="AF31" s="42" t="b">
        <x:v>1</x:v>
      </x:c>
      <x:c r="AG31" s="42" t="b">
        <x:v>1</x:v>
      </x:c>
      <x:c r="AH31" s="42" t="b">
        <x:v>1</x:v>
      </x:c>
    </x:row>
    <x:row r="32">
      <x:c r="A32" t="str">
        <x:v>deepseek</x:v>
      </x:c>
      <x:c r="B32" t="str">
        <x:v>B12</x:v>
      </x:c>
      <x:c r="C32" t="str">
        <x:v>24 Gauge CGI Sheets</x:v>
      </x:c>
      <x:c r="D32" t="str">
        <x:v>7311da1a-673f-96b5-66ef-00004409928e</x:v>
      </x:c>
      <x:c r="E32" t="str">
        <x:v>direct</x:v>
      </x:c>
      <x:c r="F32" s="42" t="b">
        <x:v>1</x:v>
      </x:c>
      <x:c r="G32" s="42" t="b">
        <x:v>1</x:v>
      </x:c>
      <x:c r="H32" s="42" t="b">
        <x:v>1</x:v>
      </x:c>
      <x:c r="I32" s="42" t="b">
        <x:v>1</x:v>
      </x:c>
      <x:c r="J32" s="42" t="b">
        <x:v>1</x:v>
      </x:c>
      <x:c r="K32" t="str">
        <x:v>ok</x:v>
      </x:c>
      <x:c r="L32" t="n">
        <x:v>7.567187429000114</x:v>
      </x:c>
      <x:c r="M32" t="str">
        <x:v>24 Gauge CGI Sheets</x:v>
      </x:c>
      <x:c r="N32" t="str">
        <x:v>7311da1a-673f-96b5-66ef-00004409928e</x:v>
      </x:c>
      <x:c r="O32" t="str">
        <x:v>direct</x:v>
      </x:c>
      <x:c r="P32" s="42" t="b">
        <x:v>1</x:v>
      </x:c>
      <x:c r="Q32" s="42" t="b">
        <x:v>1</x:v>
      </x:c>
      <x:c r="R32" s="42" t="b">
        <x:v>1</x:v>
      </x:c>
      <x:c r="S32" s="42" t="b">
        <x:v>1</x:v>
      </x:c>
      <x:c r="T32" s="42" t="b">
        <x:v>1</x:v>
      </x:c>
      <x:c r="U32" t="str">
        <x:v>ok</x:v>
      </x:c>
      <x:c r="V32" t="n">
        <x:v>8.034820301999844</x:v>
      </x:c>
      <x:c r="W32" s="42" t="b">
        <x:v>1</x:v>
      </x:c>
      <x:c r="X32" s="42" t="b">
        <x:v>1</x:v>
      </x:c>
      <x:c r="Y32" s="42" t="b">
        <x:v>1</x:v>
      </x:c>
      <x:c r="Z32" s="42" t="b">
        <x:v>1</x:v>
      </x:c>
      <x:c r="AA32" s="42" t="b">
        <x:v>1</x:v>
      </x:c>
      <x:c r="AB32" s="42" t="b">
        <x:v>1</x:v>
      </x:c>
      <x:c r="AC32" s="42" t="b">
        <x:v>1</x:v>
      </x:c>
      <x:c r="AD32" s="42" t="b">
        <x:v>1</x:v>
      </x:c>
      <x:c r="AE32" s="42" t="b">
        <x:v>1</x:v>
      </x:c>
      <x:c r="AF32" s="42" t="b">
        <x:v>1</x:v>
      </x:c>
      <x:c r="AG32" s="42" t="b">
        <x:v>1</x:v>
      </x:c>
      <x:c r="AH32" s="42" t="b">
        <x:v>1</x:v>
      </x:c>
    </x:row>
    <x:row r="33">
      <x:c r="A33" t="str">
        <x:v>deepseek</x:v>
      </x:c>
      <x:c r="B33" t="str">
        <x:v>A01</x:v>
      </x:c>
      <x:c r="C33" t="str">
        <x:v>Cement</x:v>
      </x:c>
      <x:c r="D33" t="str">
        <x:v>600573dd-dfa5-44e5-b458-8727e793ffd7</x:v>
      </x:c>
      <x:c r="E33" t="str">
        <x:v>direct</x:v>
      </x:c>
      <x:c r="F33" s="42" t="b">
        <x:v>1</x:v>
      </x:c>
      <x:c r="G33" s="42" t="b">
        <x:v>1</x:v>
      </x:c>
      <x:c r="H33" s="42" t="b">
        <x:v>1</x:v>
      </x:c>
      <x:c r="I33" s="42" t="b">
        <x:v>1</x:v>
      </x:c>
      <x:c r="J33" s="42" t="b">
        <x:v>1</x:v>
      </x:c>
      <x:c r="K33" t="str">
        <x:v>ok</x:v>
      </x:c>
      <x:c r="L33" t="n">
        <x:v>7.133912348999729</x:v>
      </x:c>
      <x:c r="M33" t="str">
        <x:v>Cement</x:v>
      </x:c>
      <x:c r="N33" t="str">
        <x:v>600573dd-dfa5-44e5-b458-8727e793ffd7</x:v>
      </x:c>
      <x:c r="O33" t="str">
        <x:v>direct</x:v>
      </x:c>
      <x:c r="P33" s="42" t="b">
        <x:v>1</x:v>
      </x:c>
      <x:c r="Q33" s="42" t="b">
        <x:v>1</x:v>
      </x:c>
      <x:c r="R33" s="42" t="b">
        <x:v>1</x:v>
      </x:c>
      <x:c r="S33" s="42" t="b">
        <x:v>1</x:v>
      </x:c>
      <x:c r="T33" s="42" t="b">
        <x:v>1</x:v>
      </x:c>
      <x:c r="U33" t="str">
        <x:v>ok</x:v>
      </x:c>
      <x:c r="V33" t="n">
        <x:v>7.74121085600018</x:v>
      </x:c>
      <x:c r="W33" s="42" t="b">
        <x:v>1</x:v>
      </x:c>
      <x:c r="X33" s="42" t="b">
        <x:v>1</x:v>
      </x:c>
      <x:c r="Y33" s="42" t="b">
        <x:v>1</x:v>
      </x:c>
      <x:c r="Z33" s="42" t="b">
        <x:v>1</x:v>
      </x:c>
      <x:c r="AA33" s="42" t="b">
        <x:v>1</x:v>
      </x:c>
      <x:c r="AB33" s="42" t="b">
        <x:v>1</x:v>
      </x:c>
      <x:c r="AC33" s="42" t="b">
        <x:v>1</x:v>
      </x:c>
      <x:c r="AD33" s="42" t="b">
        <x:v>1</x:v>
      </x:c>
      <x:c r="AE33" s="42" t="b">
        <x:v>1</x:v>
      </x:c>
      <x:c r="AF33" s="42" t="b">
        <x:v>1</x:v>
      </x:c>
      <x:c r="AG33" s="42" t="b">
        <x:v>1</x:v>
      </x:c>
      <x:c r="AH33" s="42" t="b">
        <x:v>1</x:v>
      </x:c>
    </x:row>
    <x:row r="34">
      <x:c r="A34" t="str">
        <x:v>deepseek</x:v>
      </x:c>
      <x:c r="B34" t="str">
        <x:v>A03</x:v>
      </x:c>
      <x:c r="C34" t="str">
        <x:v>Natural Gravel</x:v>
      </x:c>
      <x:c r="D34" t="str">
        <x:v>0deb15f0-518a-11dd-ae16-0800200c9a66</x:v>
      </x:c>
      <x:c r="E34" t="str">
        <x:v>direct</x:v>
      </x:c>
      <x:c r="F34" s="42" t="b">
        <x:v>1</x:v>
      </x:c>
      <x:c r="G34" s="42" t="b">
        <x:v>1</x:v>
      </x:c>
      <x:c r="H34" s="42" t="b">
        <x:v>1</x:v>
      </x:c>
      <x:c r="I34" s="42" t="b">
        <x:v>1</x:v>
      </x:c>
      <x:c r="J34" s="42" t="b">
        <x:v>1</x:v>
      </x:c>
      <x:c r="K34" t="str">
        <x:v>ok</x:v>
      </x:c>
      <x:c r="L34" t="n">
        <x:v>7.364236909000283</x:v>
      </x:c>
      <x:c r="M34" t="str">
        <x:v>Natural Gravel</x:v>
      </x:c>
      <x:c r="N34" t="str">
        <x:v>0deb15f0-518a-11dd-ae16-0800200c9a66</x:v>
      </x:c>
      <x:c r="O34" t="str">
        <x:v>direct</x:v>
      </x:c>
      <x:c r="P34" s="42" t="b">
        <x:v>1</x:v>
      </x:c>
      <x:c r="Q34" s="42" t="b">
        <x:v>1</x:v>
      </x:c>
      <x:c r="R34" s="42" t="b">
        <x:v>1</x:v>
      </x:c>
      <x:c r="S34" s="42" t="b">
        <x:v>1</x:v>
      </x:c>
      <x:c r="T34" s="42" t="b">
        <x:v>1</x:v>
      </x:c>
      <x:c r="U34" t="str">
        <x:v>ok</x:v>
      </x:c>
      <x:c r="V34" t="n">
        <x:v>7.515989257999991</x:v>
      </x:c>
      <x:c r="W34" s="42" t="b">
        <x:v>1</x:v>
      </x:c>
      <x:c r="X34" s="42" t="b">
        <x:v>1</x:v>
      </x:c>
      <x:c r="Y34" s="42" t="b">
        <x:v>1</x:v>
      </x:c>
      <x:c r="Z34" s="42" t="b">
        <x:v>1</x:v>
      </x:c>
      <x:c r="AA34" s="42" t="b">
        <x:v>1</x:v>
      </x:c>
      <x:c r="AB34" s="42" t="b">
        <x:v>1</x:v>
      </x:c>
      <x:c r="AC34" s="42" t="b">
        <x:v>1</x:v>
      </x:c>
      <x:c r="AD34" s="42" t="b">
        <x:v>1</x:v>
      </x:c>
      <x:c r="AE34" s="42" t="b">
        <x:v>1</x:v>
      </x:c>
      <x:c r="AF34" s="42" t="b">
        <x:v>1</x:v>
      </x:c>
      <x:c r="AG34" s="42" t="b">
        <x:v>1</x:v>
      </x:c>
      <x:c r="AH34" s="42" t="b">
        <x:v>1</x:v>
      </x:c>
    </x:row>
    <x:row r="35">
      <x:c r="A35" t="str">
        <x:v>deepseek</x:v>
      </x:c>
      <x:c r="B35" t="str">
        <x:v>A04</x:v>
      </x:c>
      <x:c r="C35" t="str">
        <x:v>Soil Blocks</x:v>
      </x:c>
      <x:c r="D35" t="str">
        <x:v>898618b6-3306-11dd-bd11-0800200c9a66</x:v>
      </x:c>
      <x:c r="E35" t="str">
        <x:v>proxy</x:v>
      </x:c>
      <x:c r="F35" s="42" t="b">
        <x:v>1</x:v>
      </x:c>
      <x:c r="G35" s="42" t="b">
        <x:v>1</x:v>
      </x:c>
      <x:c r="H35" s="42" t="b">
        <x:v>1</x:v>
      </x:c>
      <x:c r="I35" s="42" t="b">
        <x:v>1</x:v>
      </x:c>
      <x:c r="J35" s="42" t="b">
        <x:v>1</x:v>
      </x:c>
      <x:c r="K35" t="str">
        <x:v>ok</x:v>
      </x:c>
      <x:c r="L35" t="n">
        <x:v>8.171650394000153</x:v>
      </x:c>
      <x:c r="M35" t="str">
        <x:v>Soil Blocks</x:v>
      </x:c>
      <x:c r="N35" t="str">
        <x:v>898618b6-3306-11dd-bd11-0800200c9a66</x:v>
      </x:c>
      <x:c r="O35" t="str">
        <x:v>proxy</x:v>
      </x:c>
      <x:c r="P35" s="42" t="b">
        <x:v>1</x:v>
      </x:c>
      <x:c r="Q35" s="42" t="b">
        <x:v>1</x:v>
      </x:c>
      <x:c r="R35" s="42" t="b">
        <x:v>1</x:v>
      </x:c>
      <x:c r="S35" s="42" t="b">
        <x:v>1</x:v>
      </x:c>
      <x:c r="T35" s="42" t="b">
        <x:v>1</x:v>
      </x:c>
      <x:c r="U35" t="str">
        <x:v>ok</x:v>
      </x:c>
      <x:c r="V35" t="n">
        <x:v>7.588629668000067</x:v>
      </x:c>
      <x:c r="W35" s="42" t="b">
        <x:v>1</x:v>
      </x:c>
      <x:c r="X35" s="42" t="b">
        <x:v>1</x:v>
      </x:c>
      <x:c r="Y35" s="42" t="b">
        <x:v>1</x:v>
      </x:c>
      <x:c r="Z35" s="42" t="b">
        <x:v>1</x:v>
      </x:c>
      <x:c r="AA35" s="42" t="b">
        <x:v>1</x:v>
      </x:c>
      <x:c r="AB35" s="42" t="b">
        <x:v>1</x:v>
      </x:c>
      <x:c r="AC35" s="42" t="b">
        <x:v>1</x:v>
      </x:c>
      <x:c r="AD35" s="42" t="b">
        <x:v>1</x:v>
      </x:c>
      <x:c r="AE35" s="42" t="b">
        <x:v>1</x:v>
      </x:c>
      <x:c r="AF35" s="42" t="b">
        <x:v>1</x:v>
      </x:c>
      <x:c r="AG35" s="42" t="b">
        <x:v>1</x:v>
      </x:c>
      <x:c r="AH35" s="42" t="b">
        <x:v>1</x:v>
      </x:c>
    </x:row>
    <x:row r="36">
      <x:c r="A36" t="str">
        <x:v>deepseek</x:v>
      </x:c>
      <x:c r="B36" t="str">
        <x:v>A08</x:v>
      </x:c>
      <x:c r="C36" t="str">
        <x:v>Soil</x:v>
      </x:c>
      <x:c r="D36" t="str">
        <x:v>e3cd6a07-b8b5-46dd-881b-2b77f6c3f27c</x:v>
      </x:c>
      <x:c r="E36" t="str">
        <x:v>direct</x:v>
      </x:c>
      <x:c r="F36" s="42" t="b">
        <x:v>1</x:v>
      </x:c>
      <x:c r="G36" s="42" t="b">
        <x:v>1</x:v>
      </x:c>
      <x:c r="H36" s="42" t="b">
        <x:v>1</x:v>
      </x:c>
      <x:c r="I36" s="42" t="b">
        <x:v>1</x:v>
      </x:c>
      <x:c r="J36" s="42" t="b">
        <x:v>1</x:v>
      </x:c>
      <x:c r="K36" t="str">
        <x:v>ok</x:v>
      </x:c>
      <x:c r="L36" t="n">
        <x:v>7.37481915699982</x:v>
      </x:c>
      <x:c r="M36" t="str">
        <x:v>Soil</x:v>
      </x:c>
      <x:c r="N36" t="str">
        <x:v>e3cd6a07-b8b5-46dd-881b-2b77f6c3f27c</x:v>
      </x:c>
      <x:c r="O36" t="str">
        <x:v>direct</x:v>
      </x:c>
      <x:c r="P36" s="42" t="b">
        <x:v>1</x:v>
      </x:c>
      <x:c r="Q36" s="42" t="b">
        <x:v>1</x:v>
      </x:c>
      <x:c r="R36" s="42" t="b">
        <x:v>1</x:v>
      </x:c>
      <x:c r="S36" s="42" t="b">
        <x:v>1</x:v>
      </x:c>
      <x:c r="T36" s="42" t="b">
        <x:v>1</x:v>
      </x:c>
      <x:c r="U36" t="str">
        <x:v>ok</x:v>
      </x:c>
      <x:c r="V36" t="n">
        <x:v>8.381784438000068</x:v>
      </x:c>
      <x:c r="W36" s="42" t="b">
        <x:v>1</x:v>
      </x:c>
      <x:c r="X36" s="42" t="b">
        <x:v>1</x:v>
      </x:c>
      <x:c r="Y36" s="42" t="b">
        <x:v>1</x:v>
      </x:c>
      <x:c r="Z36" s="42" t="b">
        <x:v>1</x:v>
      </x:c>
      <x:c r="AA36" s="42" t="b">
        <x:v>1</x:v>
      </x:c>
      <x:c r="AB36" s="42" t="b">
        <x:v>1</x:v>
      </x:c>
      <x:c r="AC36" s="42" t="b">
        <x:v>1</x:v>
      </x:c>
      <x:c r="AD36" s="42" t="b">
        <x:v>1</x:v>
      </x:c>
      <x:c r="AE36" s="42" t="b">
        <x:v>1</x:v>
      </x:c>
      <x:c r="AF36" s="42" t="b">
        <x:v>1</x:v>
      </x:c>
      <x:c r="AG36" s="42" t="b">
        <x:v>1</x:v>
      </x:c>
      <x:c r="AH36" s="42" t="b">
        <x:v>1</x:v>
      </x:c>
    </x:row>
    <x:row r="37">
      <x:c r="A37" t="str">
        <x:v>deepseek</x:v>
      </x:c>
      <x:c r="B37" t="str">
        <x:v>A09</x:v>
      </x:c>
      <x:c r="C37" t="str">
        <x:v>cartonboard sheets</x:v>
      </x:c>
      <x:c r="D37" t="str">
        <x:v>54025657-ca8e-1cd4-3330-0000339bcc6d</x:v>
      </x:c>
      <x:c r="E37" t="str">
        <x:v>direct</x:v>
      </x:c>
      <x:c r="F37" s="42" t="b">
        <x:v>1</x:v>
      </x:c>
      <x:c r="G37" s="42" t="b">
        <x:v>1</x:v>
      </x:c>
      <x:c r="H37" s="42" t="b">
        <x:v>1</x:v>
      </x:c>
      <x:c r="I37" s="42" t="b">
        <x:v>1</x:v>
      </x:c>
      <x:c r="J37" s="42" t="b">
        <x:v>1</x:v>
      </x:c>
      <x:c r="K37" t="str">
        <x:v>ok</x:v>
      </x:c>
      <x:c r="L37" t="n">
        <x:v>7.464774749999833</x:v>
      </x:c>
      <x:c r="M37" t="str">
        <x:v>cartonboard sheets</x:v>
      </x:c>
      <x:c r="N37" t="str">
        <x:v>54025657-ca8e-1cd4-3330-0000339bcc6d</x:v>
      </x:c>
      <x:c r="O37" t="str">
        <x:v>direct</x:v>
      </x:c>
      <x:c r="P37" s="42" t="b">
        <x:v>1</x:v>
      </x:c>
      <x:c r="Q37" s="42" t="b">
        <x:v>1</x:v>
      </x:c>
      <x:c r="R37" s="42" t="b">
        <x:v>1</x:v>
      </x:c>
      <x:c r="S37" s="42" t="b">
        <x:v>1</x:v>
      </x:c>
      <x:c r="T37" s="42" t="b">
        <x:v>1</x:v>
      </x:c>
      <x:c r="U37" t="str">
        <x:v>ok</x:v>
      </x:c>
      <x:c r="V37" t="n">
        <x:v>7.901184812999873</x:v>
      </x:c>
      <x:c r="W37" s="42" t="b">
        <x:v>1</x:v>
      </x:c>
      <x:c r="X37" s="42" t="b">
        <x:v>1</x:v>
      </x:c>
      <x:c r="Y37" s="42" t="b">
        <x:v>1</x:v>
      </x:c>
      <x:c r="Z37" s="42" t="b">
        <x:v>1</x:v>
      </x:c>
      <x:c r="AA37" s="42" t="b">
        <x:v>1</x:v>
      </x:c>
      <x:c r="AB37" s="42" t="b">
        <x:v>1</x:v>
      </x:c>
      <x:c r="AC37" s="42" t="b">
        <x:v>1</x:v>
      </x:c>
      <x:c r="AD37" s="42" t="b">
        <x:v>1</x:v>
      </x:c>
      <x:c r="AE37" s="42" t="b">
        <x:v>1</x:v>
      </x:c>
      <x:c r="AF37" s="42" t="b">
        <x:v>1</x:v>
      </x:c>
      <x:c r="AG37" s="42" t="b">
        <x:v>1</x:v>
      </x:c>
      <x:c r="AH37" s="42" t="b">
        <x:v>1</x:v>
      </x:c>
    </x:row>
    <x:row r="38">
      <x:c r="A38" t="str">
        <x:v>mistral</x:v>
      </x:c>
      <x:c r="B38" t="str">
        <x:v>S01</x:v>
      </x:c>
      <x:c r="C38" t="str">
        <x:v>Ordinary Portland Cement</x:v>
      </x:c>
      <x:c r="D38" t="str">
        <x:v>600573dd-dfa5-44e5-b458-8727e793ffd7</x:v>
      </x:c>
      <x:c r="E38" t="str">
        <x:v>direct</x:v>
      </x:c>
      <x:c r="F38" s="42" t="b">
        <x:v>1</x:v>
      </x:c>
      <x:c r="G38" s="42" t="b">
        <x:v>1</x:v>
      </x:c>
      <x:c r="H38" s="42" t="b">
        <x:v>1</x:v>
      </x:c>
      <x:c r="I38" s="42" t="b">
        <x:v>1</x:v>
      </x:c>
      <x:c r="J38" s="42" t="b">
        <x:v>1</x:v>
      </x:c>
      <x:c r="K38" t="str">
        <x:v>ok</x:v>
      </x:c>
      <x:c r="L38" t="n">
        <x:v>6.596872214000086</x:v>
      </x:c>
      <x:c r="M38" t="str">
        <x:v>Ordinary Portland Cement</x:v>
      </x:c>
      <x:c r="N38" t="str">
        <x:v>600573dd-dfa5-44e5-b458-8727e793ffd7</x:v>
      </x:c>
      <x:c r="O38" t="str">
        <x:v>direct</x:v>
      </x:c>
      <x:c r="P38" s="42" t="b">
        <x:v>1</x:v>
      </x:c>
      <x:c r="Q38" s="42" t="b">
        <x:v>1</x:v>
      </x:c>
      <x:c r="R38" s="42" t="b">
        <x:v>1</x:v>
      </x:c>
      <x:c r="S38" s="42" t="b">
        <x:v>1</x:v>
      </x:c>
      <x:c r="T38" s="42" t="b">
        <x:v>1</x:v>
      </x:c>
      <x:c r="U38" t="str">
        <x:v>ok</x:v>
      </x:c>
      <x:c r="V38" t="n">
        <x:v>6.073517297000308</x:v>
      </x:c>
      <x:c r="W38" s="42" t="b">
        <x:v>1</x:v>
      </x:c>
      <x:c r="X38" s="42" t="b">
        <x:v>1</x:v>
      </x:c>
      <x:c r="Y38" s="42" t="b">
        <x:v>1</x:v>
      </x:c>
      <x:c r="Z38" s="42" t="b">
        <x:v>1</x:v>
      </x:c>
      <x:c r="AA38" s="42" t="b">
        <x:v>1</x:v>
      </x:c>
      <x:c r="AB38" s="42" t="b">
        <x:v>1</x:v>
      </x:c>
      <x:c r="AC38" s="42" t="b">
        <x:v>1</x:v>
      </x:c>
      <x:c r="AD38" s="42" t="b">
        <x:v>1</x:v>
      </x:c>
      <x:c r="AE38" s="42" t="b">
        <x:v>1</x:v>
      </x:c>
      <x:c r="AF38" s="42" t="b">
        <x:v>1</x:v>
      </x:c>
      <x:c r="AG38" s="42" t="b">
        <x:v>1</x:v>
      </x:c>
      <x:c r="AH38" s="42" t="b">
        <x:v>1</x:v>
      </x:c>
    </x:row>
    <x:row r="39">
      <x:c r="A39" t="str">
        <x:v>mistral</x:v>
      </x:c>
      <x:c r="B39" t="str">
        <x:v>S11</x:v>
      </x:c>
      <x:c r="C39" t="str">
        <x:v>Plaster 1:4</x:v>
      </x:c>
      <x:c r="D39" t="str">
        <x:v>da78eea3-ead1-4379-80af-14a991a2a746</x:v>
      </x:c>
      <x:c r="E39" t="str">
        <x:v>proxy</x:v>
      </x:c>
      <x:c r="F39" s="42" t="b">
        <x:v>1</x:v>
      </x:c>
      <x:c r="G39" s="42" t="b">
        <x:v>1</x:v>
      </x:c>
      <x:c r="H39" s="42" t="b">
        <x:v>1</x:v>
      </x:c>
      <x:c r="I39" s="42" t="b">
        <x:v>1</x:v>
      </x:c>
      <x:c r="J39" s="42" t="b">
        <x:v>1</x:v>
      </x:c>
      <x:c r="K39" t="str">
        <x:v>ok</x:v>
      </x:c>
      <x:c r="L39" t="n">
        <x:v>8.19847672700007</x:v>
      </x:c>
      <x:c r="M39" t="str">
        <x:v>Plaster 1:4</x:v>
      </x:c>
      <x:c r="N39" t="str">
        <x:v>da78eea3-ead1-4379-80af-14a991a2a746</x:v>
      </x:c>
      <x:c r="O39" t="str">
        <x:v>proxy</x:v>
      </x:c>
      <x:c r="P39" s="42" t="b">
        <x:v>1</x:v>
      </x:c>
      <x:c r="Q39" s="42" t="b">
        <x:v>1</x:v>
      </x:c>
      <x:c r="R39" s="42" t="b">
        <x:v>1</x:v>
      </x:c>
      <x:c r="S39" s="42" t="b">
        <x:v>1</x:v>
      </x:c>
      <x:c r="T39" s="42" t="b">
        <x:v>1</x:v>
      </x:c>
      <x:c r="U39" t="str">
        <x:v>ok</x:v>
      </x:c>
      <x:c r="V39" t="n">
        <x:v>7.552593102000174</x:v>
      </x:c>
      <x:c r="W39" s="42" t="b">
        <x:v>1</x:v>
      </x:c>
      <x:c r="X39" s="42" t="b">
        <x:v>1</x:v>
      </x:c>
      <x:c r="Y39" s="42" t="b">
        <x:v>1</x:v>
      </x:c>
      <x:c r="Z39" s="42" t="b">
        <x:v>1</x:v>
      </x:c>
      <x:c r="AA39" s="42" t="b">
        <x:v>1</x:v>
      </x:c>
      <x:c r="AB39" s="42" t="b">
        <x:v>1</x:v>
      </x:c>
      <x:c r="AC39" s="42" t="b">
        <x:v>1</x:v>
      </x:c>
      <x:c r="AD39" s="42" t="b">
        <x:v>1</x:v>
      </x:c>
      <x:c r="AE39" s="42" t="b">
        <x:v>1</x:v>
      </x:c>
      <x:c r="AF39" s="42" t="b">
        <x:v>1</x:v>
      </x:c>
      <x:c r="AG39" s="42" t="b">
        <x:v>1</x:v>
      </x:c>
      <x:c r="AH39" s="42" t="b">
        <x:v>1</x:v>
      </x:c>
    </x:row>
    <x:row r="40">
      <x:c r="A40" t="str">
        <x:v>mistral</x:v>
      </x:c>
      <x:c r="B40" t="str">
        <x:v>B05</x:v>
      </x:c>
      <x:c r="C40" t="str">
        <x:v>Soil</x:v>
      </x:c>
      <x:c r="D40"/>
      <x:c r="E40" t="str">
        <x:v>review_required</x:v>
      </x:c>
      <x:c r="F40" s="42" t="b">
        <x:v>0</x:v>
      </x:c>
      <x:c r="G40" s="42" t="b">
        <x:v>0</x:v>
      </x:c>
      <x:c r="H40" s="42" t="b">
        <x:v>1</x:v>
      </x:c>
      <x:c r="I40" s="42" t="b">
        <x:v>1</x:v>
      </x:c>
      <x:c r="J40" s="42" t="b">
        <x:v>1</x:v>
      </x:c>
      <x:c r="K40" t="str">
        <x:v>invalid_ranking</x:v>
      </x:c>
      <x:c r="L40" t="n">
        <x:v>3.507187282999894</x:v>
      </x:c>
      <x:c r="M40" t="str">
        <x:v>Soil</x:v>
      </x:c>
      <x:c r="N40"/>
      <x:c r="O40" t="str">
        <x:v>review_required</x:v>
      </x:c>
      <x:c r="P40" s="42" t="b">
        <x:v>0</x:v>
      </x:c>
      <x:c r="Q40" s="42" t="b">
        <x:v>0</x:v>
      </x:c>
      <x:c r="R40" s="42" t="b">
        <x:v>1</x:v>
      </x:c>
      <x:c r="S40" s="42" t="b">
        <x:v>1</x:v>
      </x:c>
      <x:c r="T40" s="42" t="b">
        <x:v>1</x:v>
      </x:c>
      <x:c r="U40" t="str">
        <x:v>invalid_ranking</x:v>
      </x:c>
      <x:c r="V40" t="n">
        <x:v>3.62602413400009</x:v>
      </x:c>
      <x:c r="W40" s="42" t="b">
        <x:v>1</x:v>
      </x:c>
      <x:c r="X40" s="42" t="b">
        <x:v>0</x:v>
      </x:c>
      <x:c r="Y40" s="42" t="b">
        <x:v>1</x:v>
      </x:c>
      <x:c r="Z40" s="42" t="b">
        <x:v>0</x:v>
      </x:c>
      <x:c r="AA40" s="42" t="b">
        <x:v>1</x:v>
      </x:c>
      <x:c r="AB40" s="42" t="b">
        <x:v>1</x:v>
      </x:c>
      <x:c r="AC40" s="42" t="b">
        <x:v>1</x:v>
      </x:c>
      <x:c r="AD40" s="42" t="b">
        <x:v>1</x:v>
      </x:c>
      <x:c r="AE40" s="42" t="b">
        <x:v>1</x:v>
      </x:c>
      <x:c r="AF40" s="42" t="b">
        <x:v>0</x:v>
      </x:c>
      <x:c r="AG40" s="42" t="b">
        <x:v>1</x:v>
      </x:c>
      <x:c r="AH40" s="42" t="b">
        <x:v>0</x:v>
      </x:c>
    </x:row>
    <x:row r="41">
      <x:c r="A41" t="str">
        <x:v>mistral</x:v>
      </x:c>
      <x:c r="B41" t="str">
        <x:v>B06</x:v>
      </x:c>
      <x:c r="C41" t="str">
        <x:v>Wood</x:v>
      </x:c>
      <x:c r="D41" t="str">
        <x:v>2b61a4d6-bd1d-4ea3-828c-fdbdf5fca1f9</x:v>
      </x:c>
      <x:c r="E41" t="str">
        <x:v>direct</x:v>
      </x:c>
      <x:c r="F41" s="42" t="b">
        <x:v>1</x:v>
      </x:c>
      <x:c r="G41" s="42" t="b">
        <x:v>1</x:v>
      </x:c>
      <x:c r="H41" s="42" t="b">
        <x:v>1</x:v>
      </x:c>
      <x:c r="I41" s="42" t="b">
        <x:v>1</x:v>
      </x:c>
      <x:c r="J41" s="42" t="b">
        <x:v>1</x:v>
      </x:c>
      <x:c r="K41" t="str">
        <x:v>ok</x:v>
      </x:c>
      <x:c r="L41" t="n">
        <x:v>7.7597340479997</x:v>
      </x:c>
      <x:c r="M41" t="str">
        <x:v>Wood</x:v>
      </x:c>
      <x:c r="N41" t="str">
        <x:v>2b61a4d6-bd1d-4ea3-828c-fdbdf5fca1f9</x:v>
      </x:c>
      <x:c r="O41" t="str">
        <x:v>direct</x:v>
      </x:c>
      <x:c r="P41" s="42" t="b">
        <x:v>1</x:v>
      </x:c>
      <x:c r="Q41" s="42" t="b">
        <x:v>1</x:v>
      </x:c>
      <x:c r="R41" s="42" t="b">
        <x:v>1</x:v>
      </x:c>
      <x:c r="S41" s="42" t="b">
        <x:v>1</x:v>
      </x:c>
      <x:c r="T41" s="42" t="b">
        <x:v>1</x:v>
      </x:c>
      <x:c r="U41" t="str">
        <x:v>ok</x:v>
      </x:c>
      <x:c r="V41" t="n">
        <x:v>7.558833568999944</x:v>
      </x:c>
      <x:c r="W41" s="42" t="b">
        <x:v>1</x:v>
      </x:c>
      <x:c r="X41" s="42" t="b">
        <x:v>1</x:v>
      </x:c>
      <x:c r="Y41" s="42" t="b">
        <x:v>1</x:v>
      </x:c>
      <x:c r="Z41" s="42" t="b">
        <x:v>1</x:v>
      </x:c>
      <x:c r="AA41" s="42" t="b">
        <x:v>1</x:v>
      </x:c>
      <x:c r="AB41" s="42" t="b">
        <x:v>1</x:v>
      </x:c>
      <x:c r="AC41" s="42" t="b">
        <x:v>1</x:v>
      </x:c>
      <x:c r="AD41" s="42" t="b">
        <x:v>1</x:v>
      </x:c>
      <x:c r="AE41" s="42" t="b">
        <x:v>1</x:v>
      </x:c>
      <x:c r="AF41" s="42" t="b">
        <x:v>1</x:v>
      </x:c>
      <x:c r="AG41" s="42" t="b">
        <x:v>1</x:v>
      </x:c>
      <x:c r="AH41" s="42" t="b">
        <x:v>1</x:v>
      </x:c>
    </x:row>
    <x:row r="42">
      <x:c r="A42" t="str">
        <x:v>mistral</x:v>
      </x:c>
      <x:c r="B42" t="str">
        <x:v>B10</x:v>
      </x:c>
      <x:c r="C42" t="str">
        <x:v>7mm Rebar</x:v>
      </x:c>
      <x:c r="D42" t="str">
        <x:v>3945fc44-1180-4c6d-bc18-2a37e1a85f80</x:v>
      </x:c>
      <x:c r="E42" t="str">
        <x:v>proxy</x:v>
      </x:c>
      <x:c r="F42" s="42" t="b">
        <x:v>1</x:v>
      </x:c>
      <x:c r="G42" s="42" t="b">
        <x:v>1</x:v>
      </x:c>
      <x:c r="H42" s="42" t="b">
        <x:v>1</x:v>
      </x:c>
      <x:c r="I42" s="42" t="b">
        <x:v>1</x:v>
      </x:c>
      <x:c r="J42" s="42" t="b">
        <x:v>1</x:v>
      </x:c>
      <x:c r="K42" t="str">
        <x:v>ok</x:v>
      </x:c>
      <x:c r="L42" t="n">
        <x:v>7.513988791999964</x:v>
      </x:c>
      <x:c r="M42" t="str">
        <x:v>7mm Rebar</x:v>
      </x:c>
      <x:c r="N42" t="str">
        <x:v>3945fc44-1180-4c6d-bc18-2a37e1a85f80</x:v>
      </x:c>
      <x:c r="O42" t="str">
        <x:v>proxy</x:v>
      </x:c>
      <x:c r="P42" s="42" t="b">
        <x:v>1</x:v>
      </x:c>
      <x:c r="Q42" s="42" t="b">
        <x:v>1</x:v>
      </x:c>
      <x:c r="R42" s="42" t="b">
        <x:v>1</x:v>
      </x:c>
      <x:c r="S42" s="42" t="b">
        <x:v>1</x:v>
      </x:c>
      <x:c r="T42" s="42" t="b">
        <x:v>1</x:v>
      </x:c>
      <x:c r="U42" t="str">
        <x:v>ok</x:v>
      </x:c>
      <x:c r="V42" t="n">
        <x:v>7.61183522500005</x:v>
      </x:c>
      <x:c r="W42" s="42" t="b">
        <x:v>1</x:v>
      </x:c>
      <x:c r="X42" s="42" t="b">
        <x:v>1</x:v>
      </x:c>
      <x:c r="Y42" s="42" t="b">
        <x:v>1</x:v>
      </x:c>
      <x:c r="Z42" s="42" t="b">
        <x:v>1</x:v>
      </x:c>
      <x:c r="AA42" s="42" t="b">
        <x:v>1</x:v>
      </x:c>
      <x:c r="AB42" s="42" t="b">
        <x:v>1</x:v>
      </x:c>
      <x:c r="AC42" s="42" t="b">
        <x:v>1</x:v>
      </x:c>
      <x:c r="AD42" s="42" t="b">
        <x:v>1</x:v>
      </x:c>
      <x:c r="AE42" s="42" t="b">
        <x:v>1</x:v>
      </x:c>
      <x:c r="AF42" s="42" t="b">
        <x:v>1</x:v>
      </x:c>
      <x:c r="AG42" s="42" t="b">
        <x:v>1</x:v>
      </x:c>
      <x:c r="AH42" s="42" t="b">
        <x:v>1</x:v>
      </x:c>
    </x:row>
    <x:row r="43">
      <x:c r="A43" t="str">
        <x:v>mistral</x:v>
      </x:c>
      <x:c r="B43" t="str">
        <x:v>B11</x:v>
      </x:c>
      <x:c r="C43" t="str">
        <x:v>Copper Wire</x:v>
      </x:c>
      <x:c r="D43" t="str">
        <x:v>11bceac4-b3d8-4048-8e80-b691ecd2c261</x:v>
      </x:c>
      <x:c r="E43" t="str">
        <x:v>proxy</x:v>
      </x:c>
      <x:c r="F43" s="42" t="b">
        <x:v>1</x:v>
      </x:c>
      <x:c r="G43" s="42" t="b">
        <x:v>1</x:v>
      </x:c>
      <x:c r="H43" s="42" t="b">
        <x:v>1</x:v>
      </x:c>
      <x:c r="I43" s="42" t="b">
        <x:v>1</x:v>
      </x:c>
      <x:c r="J43" s="42" t="b">
        <x:v>1</x:v>
      </x:c>
      <x:c r="K43" t="str">
        <x:v>ok</x:v>
      </x:c>
      <x:c r="L43" t="n">
        <x:v>8.063421459999972</x:v>
      </x:c>
      <x:c r="M43" t="str">
        <x:v>Copper Wire</x:v>
      </x:c>
      <x:c r="N43" t="str">
        <x:v>11bceac4-b3d8-4048-8e80-b691ecd2c261</x:v>
      </x:c>
      <x:c r="O43" t="str">
        <x:v>proxy</x:v>
      </x:c>
      <x:c r="P43" s="42" t="b">
        <x:v>1</x:v>
      </x:c>
      <x:c r="Q43" s="42" t="b">
        <x:v>1</x:v>
      </x:c>
      <x:c r="R43" s="42" t="b">
        <x:v>1</x:v>
      </x:c>
      <x:c r="S43" s="42" t="b">
        <x:v>1</x:v>
      </x:c>
      <x:c r="T43" s="42" t="b">
        <x:v>1</x:v>
      </x:c>
      <x:c r="U43" t="str">
        <x:v>ok</x:v>
      </x:c>
      <x:c r="V43" t="n">
        <x:v>8.00944843499974</x:v>
      </x:c>
      <x:c r="W43" s="42" t="b">
        <x:v>1</x:v>
      </x:c>
      <x:c r="X43" s="42" t="b">
        <x:v>1</x:v>
      </x:c>
      <x:c r="Y43" s="42" t="b">
        <x:v>1</x:v>
      </x:c>
      <x:c r="Z43" s="42" t="b">
        <x:v>1</x:v>
      </x:c>
      <x:c r="AA43" s="42" t="b">
        <x:v>1</x:v>
      </x:c>
      <x:c r="AB43" s="42" t="b">
        <x:v>1</x:v>
      </x:c>
      <x:c r="AC43" s="42" t="b">
        <x:v>1</x:v>
      </x:c>
      <x:c r="AD43" s="42" t="b">
        <x:v>1</x:v>
      </x:c>
      <x:c r="AE43" s="42" t="b">
        <x:v>1</x:v>
      </x:c>
      <x:c r="AF43" s="42" t="b">
        <x:v>1</x:v>
      </x:c>
      <x:c r="AG43" s="42" t="b">
        <x:v>1</x:v>
      </x:c>
      <x:c r="AH43" s="42" t="b">
        <x:v>1</x:v>
      </x:c>
    </x:row>
    <x:row r="44">
      <x:c r="A44" t="str">
        <x:v>mistral</x:v>
      </x:c>
      <x:c r="B44" t="str">
        <x:v>B12</x:v>
      </x:c>
      <x:c r="C44" t="str">
        <x:v>24 Gauge CGI Sheets</x:v>
      </x:c>
      <x:c r="D44" t="str">
        <x:v>7311da1a-673f-96b5-66ef-00004409928e</x:v>
      </x:c>
      <x:c r="E44" t="str">
        <x:v>proxy</x:v>
      </x:c>
      <x:c r="F44" s="42" t="b">
        <x:v>1</x:v>
      </x:c>
      <x:c r="G44" s="42" t="b">
        <x:v>1</x:v>
      </x:c>
      <x:c r="H44" s="42" t="b">
        <x:v>1</x:v>
      </x:c>
      <x:c r="I44" s="42" t="b">
        <x:v>1</x:v>
      </x:c>
      <x:c r="J44" s="42" t="b">
        <x:v>1</x:v>
      </x:c>
      <x:c r="K44" t="str">
        <x:v>ok</x:v>
      </x:c>
      <x:c r="L44" t="n">
        <x:v>7.870193381999798</x:v>
      </x:c>
      <x:c r="M44" t="str">
        <x:v>24 Gauge CGI Sheets</x:v>
      </x:c>
      <x:c r="N44" t="str">
        <x:v>7311da1a-673f-96b5-66ef-00004409928e</x:v>
      </x:c>
      <x:c r="O44" t="str">
        <x:v>proxy</x:v>
      </x:c>
      <x:c r="P44" s="42" t="b">
        <x:v>1</x:v>
      </x:c>
      <x:c r="Q44" s="42" t="b">
        <x:v>1</x:v>
      </x:c>
      <x:c r="R44" s="42" t="b">
        <x:v>1</x:v>
      </x:c>
      <x:c r="S44" s="42" t="b">
        <x:v>1</x:v>
      </x:c>
      <x:c r="T44" s="42" t="b">
        <x:v>1</x:v>
      </x:c>
      <x:c r="U44" t="str">
        <x:v>ok</x:v>
      </x:c>
      <x:c r="V44" t="n">
        <x:v>7.77655288699998</x:v>
      </x:c>
      <x:c r="W44" s="42" t="b">
        <x:v>1</x:v>
      </x:c>
      <x:c r="X44" s="42" t="b">
        <x:v>1</x:v>
      </x:c>
      <x:c r="Y44" s="42" t="b">
        <x:v>1</x:v>
      </x:c>
      <x:c r="Z44" s="42" t="b">
        <x:v>1</x:v>
      </x:c>
      <x:c r="AA44" s="42" t="b">
        <x:v>1</x:v>
      </x:c>
      <x:c r="AB44" s="42" t="b">
        <x:v>1</x:v>
      </x:c>
      <x:c r="AC44" s="42" t="b">
        <x:v>1</x:v>
      </x:c>
      <x:c r="AD44" s="42" t="b">
        <x:v>1</x:v>
      </x:c>
      <x:c r="AE44" s="42" t="b">
        <x:v>1</x:v>
      </x:c>
      <x:c r="AF44" s="42" t="b">
        <x:v>1</x:v>
      </x:c>
      <x:c r="AG44" s="42" t="b">
        <x:v>1</x:v>
      </x:c>
      <x:c r="AH44" s="42" t="b">
        <x:v>1</x:v>
      </x:c>
    </x:row>
    <x:row r="45">
      <x:c r="A45" t="str">
        <x:v>mistral</x:v>
      </x:c>
      <x:c r="B45" t="str">
        <x:v>A01</x:v>
      </x:c>
      <x:c r="C45" t="str">
        <x:v>Cement</x:v>
      </x:c>
      <x:c r="D45" t="str">
        <x:v>600573dd-dfa5-44e5-b458-8727e793ffd7</x:v>
      </x:c>
      <x:c r="E45" t="str">
        <x:v>direct</x:v>
      </x:c>
      <x:c r="F45" s="42" t="b">
        <x:v>1</x:v>
      </x:c>
      <x:c r="G45" s="42" t="b">
        <x:v>1</x:v>
      </x:c>
      <x:c r="H45" s="42" t="b">
        <x:v>1</x:v>
      </x:c>
      <x:c r="I45" s="42" t="b">
        <x:v>1</x:v>
      </x:c>
      <x:c r="J45" s="42" t="b">
        <x:v>1</x:v>
      </x:c>
      <x:c r="K45" t="str">
        <x:v>ok</x:v>
      </x:c>
      <x:c r="L45" t="n">
        <x:v>5.269782506999945</x:v>
      </x:c>
      <x:c r="M45" t="str">
        <x:v>Cement</x:v>
      </x:c>
      <x:c r="N45" t="str">
        <x:v>600573dd-dfa5-44e5-b458-8727e793ffd7</x:v>
      </x:c>
      <x:c r="O45" t="str">
        <x:v>direct</x:v>
      </x:c>
      <x:c r="P45" s="42" t="b">
        <x:v>1</x:v>
      </x:c>
      <x:c r="Q45" s="42" t="b">
        <x:v>1</x:v>
      </x:c>
      <x:c r="R45" s="42" t="b">
        <x:v>1</x:v>
      </x:c>
      <x:c r="S45" s="42" t="b">
        <x:v>1</x:v>
      </x:c>
      <x:c r="T45" s="42" t="b">
        <x:v>1</x:v>
      </x:c>
      <x:c r="U45" t="str">
        <x:v>ok</x:v>
      </x:c>
      <x:c r="V45" t="n">
        <x:v>5.262193270999887</x:v>
      </x:c>
      <x:c r="W45" s="42" t="b">
        <x:v>1</x:v>
      </x:c>
      <x:c r="X45" s="42" t="b">
        <x:v>1</x:v>
      </x:c>
      <x:c r="Y45" s="42" t="b">
        <x:v>1</x:v>
      </x:c>
      <x:c r="Z45" s="42" t="b">
        <x:v>1</x:v>
      </x:c>
      <x:c r="AA45" s="42" t="b">
        <x:v>1</x:v>
      </x:c>
      <x:c r="AB45" s="42" t="b">
        <x:v>1</x:v>
      </x:c>
      <x:c r="AC45" s="42" t="b">
        <x:v>1</x:v>
      </x:c>
      <x:c r="AD45" s="42" t="b">
        <x:v>1</x:v>
      </x:c>
      <x:c r="AE45" s="42" t="b">
        <x:v>1</x:v>
      </x:c>
      <x:c r="AF45" s="42" t="b">
        <x:v>1</x:v>
      </x:c>
      <x:c r="AG45" s="42" t="b">
        <x:v>1</x:v>
      </x:c>
      <x:c r="AH45" s="42" t="b">
        <x:v>1</x:v>
      </x:c>
    </x:row>
    <x:row r="46">
      <x:c r="A46" t="str">
        <x:v>mistral</x:v>
      </x:c>
      <x:c r="B46" t="str">
        <x:v>A03</x:v>
      </x:c>
      <x:c r="C46" t="str">
        <x:v>Natural Gravel</x:v>
      </x:c>
      <x:c r="D46" t="str">
        <x:v>898618b2-3306-11dd-bd11-0800200c9a66</x:v>
      </x:c>
      <x:c r="E46" t="str">
        <x:v>direct</x:v>
      </x:c>
      <x:c r="F46" s="42" t="b">
        <x:v>1</x:v>
      </x:c>
      <x:c r="G46" s="42" t="b">
        <x:v>1</x:v>
      </x:c>
      <x:c r="H46" s="42" t="b">
        <x:v>1</x:v>
      </x:c>
      <x:c r="I46" s="42" t="b">
        <x:v>1</x:v>
      </x:c>
      <x:c r="J46" s="42" t="b">
        <x:v>1</x:v>
      </x:c>
      <x:c r="K46" t="str">
        <x:v>ok</x:v>
      </x:c>
      <x:c r="L46" t="n">
        <x:v>5.473516114999711</x:v>
      </x:c>
      <x:c r="M46" t="str">
        <x:v>Natural Gravel</x:v>
      </x:c>
      <x:c r="N46" t="str">
        <x:v>898618b2-3306-11dd-bd11-0800200c9a66</x:v>
      </x:c>
      <x:c r="O46" t="str">
        <x:v>direct</x:v>
      </x:c>
      <x:c r="P46" s="42" t="b">
        <x:v>1</x:v>
      </x:c>
      <x:c r="Q46" s="42" t="b">
        <x:v>1</x:v>
      </x:c>
      <x:c r="R46" s="42" t="b">
        <x:v>1</x:v>
      </x:c>
      <x:c r="S46" s="42" t="b">
        <x:v>1</x:v>
      </x:c>
      <x:c r="T46" s="42" t="b">
        <x:v>1</x:v>
      </x:c>
      <x:c r="U46" t="str">
        <x:v>ok</x:v>
      </x:c>
      <x:c r="V46" t="n">
        <x:v>6.283494674999929</x:v>
      </x:c>
      <x:c r="W46" s="42" t="b">
        <x:v>1</x:v>
      </x:c>
      <x:c r="X46" s="42" t="b">
        <x:v>1</x:v>
      </x:c>
      <x:c r="Y46" s="42" t="b">
        <x:v>1</x:v>
      </x:c>
      <x:c r="Z46" s="42" t="b">
        <x:v>1</x:v>
      </x:c>
      <x:c r="AA46" s="42" t="b">
        <x:v>1</x:v>
      </x:c>
      <x:c r="AB46" s="42" t="b">
        <x:v>1</x:v>
      </x:c>
      <x:c r="AC46" s="42" t="b">
        <x:v>1</x:v>
      </x:c>
      <x:c r="AD46" s="42" t="b">
        <x:v>1</x:v>
      </x:c>
      <x:c r="AE46" s="42" t="b">
        <x:v>1</x:v>
      </x:c>
      <x:c r="AF46" s="42" t="b">
        <x:v>1</x:v>
      </x:c>
      <x:c r="AG46" s="42" t="b">
        <x:v>1</x:v>
      </x:c>
      <x:c r="AH46" s="42" t="b">
        <x:v>1</x:v>
      </x:c>
    </x:row>
    <x:row r="47">
      <x:c r="A47" t="str">
        <x:v>mistral</x:v>
      </x:c>
      <x:c r="B47" t="str">
        <x:v>A04</x:v>
      </x:c>
      <x:c r="C47" t="str">
        <x:v>Soil Blocks</x:v>
      </x:c>
      <x:c r="D47" t="str">
        <x:v>898618b6-3306-11dd-bd11-0800200c9a66</x:v>
      </x:c>
      <x:c r="E47" t="str">
        <x:v>proxy</x:v>
      </x:c>
      <x:c r="F47" s="42" t="b">
        <x:v>1</x:v>
      </x:c>
      <x:c r="G47" s="42" t="b">
        <x:v>1</x:v>
      </x:c>
      <x:c r="H47" s="42" t="b">
        <x:v>1</x:v>
      </x:c>
      <x:c r="I47" s="42" t="b">
        <x:v>1</x:v>
      </x:c>
      <x:c r="J47" s="42" t="b">
        <x:v>1</x:v>
      </x:c>
      <x:c r="K47" t="str">
        <x:v>ok</x:v>
      </x:c>
      <x:c r="L47" t="n">
        <x:v>8.20575388799989</x:v>
      </x:c>
      <x:c r="M47" t="str">
        <x:v>Soil Blocks</x:v>
      </x:c>
      <x:c r="N47" t="str">
        <x:v>898618b6-3306-11dd-bd11-0800200c9a66</x:v>
      </x:c>
      <x:c r="O47" t="str">
        <x:v>proxy</x:v>
      </x:c>
      <x:c r="P47" s="42" t="b">
        <x:v>1</x:v>
      </x:c>
      <x:c r="Q47" s="42" t="b">
        <x:v>1</x:v>
      </x:c>
      <x:c r="R47" s="42" t="b">
        <x:v>1</x:v>
      </x:c>
      <x:c r="S47" s="42" t="b">
        <x:v>1</x:v>
      </x:c>
      <x:c r="T47" s="42" t="b">
        <x:v>1</x:v>
      </x:c>
      <x:c r="U47" t="str">
        <x:v>ok</x:v>
      </x:c>
      <x:c r="V47" t="n">
        <x:v>8.254181141999652</x:v>
      </x:c>
      <x:c r="W47" s="42" t="b">
        <x:v>1</x:v>
      </x:c>
      <x:c r="X47" s="42" t="b">
        <x:v>1</x:v>
      </x:c>
      <x:c r="Y47" s="42" t="b">
        <x:v>1</x:v>
      </x:c>
      <x:c r="Z47" s="42" t="b">
        <x:v>1</x:v>
      </x:c>
      <x:c r="AA47" s="42" t="b">
        <x:v>1</x:v>
      </x:c>
      <x:c r="AB47" s="42" t="b">
        <x:v>1</x:v>
      </x:c>
      <x:c r="AC47" s="42" t="b">
        <x:v>1</x:v>
      </x:c>
      <x:c r="AD47" s="42" t="b">
        <x:v>1</x:v>
      </x:c>
      <x:c r="AE47" s="42" t="b">
        <x:v>1</x:v>
      </x:c>
      <x:c r="AF47" s="42" t="b">
        <x:v>1</x:v>
      </x:c>
      <x:c r="AG47" s="42" t="b">
        <x:v>1</x:v>
      </x:c>
      <x:c r="AH47" s="42" t="b">
        <x:v>1</x:v>
      </x:c>
    </x:row>
    <x:row r="48">
      <x:c r="A48" t="str">
        <x:v>mistral</x:v>
      </x:c>
      <x:c r="B48" t="str">
        <x:v>A08</x:v>
      </x:c>
      <x:c r="C48" t="str">
        <x:v>Soil</x:v>
      </x:c>
      <x:c r="D48" t="str">
        <x:v>e3cd6a07-b8b5-46dd-881b-2b77f6c3f27c</x:v>
      </x:c>
      <x:c r="E48" t="str">
        <x:v>proxy</x:v>
      </x:c>
      <x:c r="F48" s="42" t="b">
        <x:v>1</x:v>
      </x:c>
      <x:c r="G48" s="42" t="b">
        <x:v>1</x:v>
      </x:c>
      <x:c r="H48" s="42" t="b">
        <x:v>1</x:v>
      </x:c>
      <x:c r="I48" s="42" t="b">
        <x:v>1</x:v>
      </x:c>
      <x:c r="J48" s="42" t="b">
        <x:v>1</x:v>
      </x:c>
      <x:c r="K48" t="str">
        <x:v>ok</x:v>
      </x:c>
      <x:c r="L48" t="n">
        <x:v>7.122432466000191</x:v>
      </x:c>
      <x:c r="M48" t="str">
        <x:v>Soil</x:v>
      </x:c>
      <x:c r="N48" t="str">
        <x:v>e3cd6a07-b8b5-46dd-881b-2b77f6c3f27c</x:v>
      </x:c>
      <x:c r="O48" t="str">
        <x:v>proxy</x:v>
      </x:c>
      <x:c r="P48" s="42" t="b">
        <x:v>1</x:v>
      </x:c>
      <x:c r="Q48" s="42" t="b">
        <x:v>1</x:v>
      </x:c>
      <x:c r="R48" s="42" t="b">
        <x:v>1</x:v>
      </x:c>
      <x:c r="S48" s="42" t="b">
        <x:v>1</x:v>
      </x:c>
      <x:c r="T48" s="42" t="b">
        <x:v>1</x:v>
      </x:c>
      <x:c r="U48" t="str">
        <x:v>ok</x:v>
      </x:c>
      <x:c r="V48" t="n">
        <x:v>7.319973775000108</x:v>
      </x:c>
      <x:c r="W48" s="42" t="b">
        <x:v>1</x:v>
      </x:c>
      <x:c r="X48" s="42" t="b">
        <x:v>1</x:v>
      </x:c>
      <x:c r="Y48" s="42" t="b">
        <x:v>1</x:v>
      </x:c>
      <x:c r="Z48" s="42" t="b">
        <x:v>1</x:v>
      </x:c>
      <x:c r="AA48" s="42" t="b">
        <x:v>1</x:v>
      </x:c>
      <x:c r="AB48" s="42" t="b">
        <x:v>1</x:v>
      </x:c>
      <x:c r="AC48" s="42" t="b">
        <x:v>1</x:v>
      </x:c>
      <x:c r="AD48" s="42" t="b">
        <x:v>1</x:v>
      </x:c>
      <x:c r="AE48" s="42" t="b">
        <x:v>1</x:v>
      </x:c>
      <x:c r="AF48" s="42" t="b">
        <x:v>1</x:v>
      </x:c>
      <x:c r="AG48" s="42" t="b">
        <x:v>1</x:v>
      </x:c>
      <x:c r="AH48" s="42" t="b">
        <x:v>1</x:v>
      </x:c>
    </x:row>
    <x:row r="49">
      <x:c r="A49" t="str">
        <x:v>mistral</x:v>
      </x:c>
      <x:c r="B49" t="str">
        <x:v>A09</x:v>
      </x:c>
      <x:c r="C49" t="str">
        <x:v>Corrugated fiberboard sheets</x:v>
      </x:c>
      <x:c r="D49" t="str">
        <x:v>7311da1a-673f-96b5-66ef-00004409928e</x:v>
      </x:c>
      <x:c r="E49" t="str">
        <x:v>proxy</x:v>
      </x:c>
      <x:c r="F49" s="42" t="b">
        <x:v>1</x:v>
      </x:c>
      <x:c r="G49" s="42" t="b">
        <x:v>1</x:v>
      </x:c>
      <x:c r="H49" s="42" t="b">
        <x:v>1</x:v>
      </x:c>
      <x:c r="I49" s="42" t="b">
        <x:v>1</x:v>
      </x:c>
      <x:c r="J49" s="42" t="b">
        <x:v>1</x:v>
      </x:c>
      <x:c r="K49" t="str">
        <x:v>ok</x:v>
      </x:c>
      <x:c r="L49" t="n">
        <x:v>8.203851113999917</x:v>
      </x:c>
      <x:c r="M49" t="str">
        <x:v>Corrugated fiberboard sheets</x:v>
      </x:c>
      <x:c r="N49" t="str">
        <x:v>7311da1a-673f-96b5-66ef-00004409928e</x:v>
      </x:c>
      <x:c r="O49" t="str">
        <x:v>proxy</x:v>
      </x:c>
      <x:c r="P49" s="42" t="b">
        <x:v>1</x:v>
      </x:c>
      <x:c r="Q49" s="42" t="b">
        <x:v>1</x:v>
      </x:c>
      <x:c r="R49" s="42" t="b">
        <x:v>1</x:v>
      </x:c>
      <x:c r="S49" s="42" t="b">
        <x:v>1</x:v>
      </x:c>
      <x:c r="T49" s="42" t="b">
        <x:v>1</x:v>
      </x:c>
      <x:c r="U49" t="str">
        <x:v>ok</x:v>
      </x:c>
      <x:c r="V49" t="n">
        <x:v>7.586821687999873</x:v>
      </x:c>
      <x:c r="W49" s="42" t="b">
        <x:v>1</x:v>
      </x:c>
      <x:c r="X49" s="42" t="b">
        <x:v>1</x:v>
      </x:c>
      <x:c r="Y49" s="42" t="b">
        <x:v>1</x:v>
      </x:c>
      <x:c r="Z49" s="42" t="b">
        <x:v>1</x:v>
      </x:c>
      <x:c r="AA49" s="42" t="b">
        <x:v>1</x:v>
      </x:c>
      <x:c r="AB49" s="42" t="b">
        <x:v>1</x:v>
      </x:c>
      <x:c r="AC49" s="42" t="b">
        <x:v>1</x:v>
      </x:c>
      <x:c r="AD49" s="42" t="b">
        <x:v>1</x:v>
      </x:c>
      <x:c r="AE49" s="42" t="b">
        <x:v>1</x:v>
      </x:c>
      <x:c r="AF49" s="42" t="b">
        <x:v>1</x:v>
      </x:c>
      <x:c r="AG49" s="42" t="b">
        <x:v>1</x:v>
      </x:c>
      <x:c r="AH49" s="42" t="b">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6" hidden="0" customWidth="1"/>
    <x:col min="14" max="14" width="16" hidden="0" customWidth="1"/>
  </x:cols>
  <x:sheetData>
    <x:row r="1" ht="26" customHeight="1">
      <x:c r="A1" s="4" t="str">
        <x:v>Model Performance</x:v>
      </x:c>
      <x:c r="B1" s="4"/>
      <x:c r="C1" s="4"/>
      <x:c r="D1" s="4"/>
      <x:c r="E1" s="4"/>
      <x:c r="F1" s="4"/>
      <x:c r="G1" s="4"/>
      <x:c r="H1" s="4"/>
      <x:c r="I1" s="4"/>
      <x:c r="J1" s="4"/>
      <x:c r="K1" s="4"/>
      <x:c r="L1" s="4"/>
      <x:c r="M1" s="4"/>
      <x:c r="N1" s="4"/>
    </x:row>
    <x:row r="2" ht="32" customHeight="1">
      <x:c r="A2" s="10" t="str">
        <x:v>Primary benchmark metrics. Percentages are formula-linked to the source comparison table; confidence intervals use Wilson 95% intervals.</x:v>
      </x:c>
      <x:c r="B2" s="10"/>
      <x:c r="C2" s="10"/>
      <x:c r="D2" s="10"/>
      <x:c r="E2" s="10"/>
      <x:c r="F2" s="10"/>
      <x:c r="G2" s="10"/>
      <x:c r="H2" s="10"/>
      <x:c r="I2" s="10"/>
      <x:c r="J2" s="10"/>
      <x:c r="K2" s="10"/>
      <x:c r="L2" s="10"/>
      <x:c r="M2" s="10"/>
      <x:c r="N2" s="10"/>
    </x:row>
    <x:row r="4">
      <x:c r="A4" s="22" t="str">
        <x:v>Model</x:v>
      </x:c>
      <x:c r="B4" s="22" t="str">
        <x:v>Normalization exact</x:v>
      </x:c>
      <x:c r="C4" s="22" t="str">
        <x:v>Mean norm. similarity</x:v>
      </x:c>
      <x:c r="D4" s="22" t="str">
        <x:v>Exact process selection</x:v>
      </x:c>
      <x:c r="E4" s="22" t="str">
        <x:v>Conditional process selection</x:v>
      </x:c>
      <x:c r="F4" s="22" t="str">
        <x:v>Top-3 ranking recall</x:v>
      </x:c>
      <x:c r="G4" s="22" t="str">
        <x:v>Match-type accuracy</x:v>
      </x:c>
      <x:c r="H4" s="22" t="str">
        <x:v>Review Required precision</x:v>
      </x:c>
      <x:c r="I4" s="22" t="str">
        <x:v>Review Required recall</x:v>
      </x:c>
      <x:c r="J4" s="22" t="str">
        <x:v>Review Required F1</x:v>
      </x:c>
      <x:c r="K4" s="22" t="str">
        <x:v>Full-reference accuracy</x:v>
      </x:c>
      <x:c r="L4" s="22" t="str">
        <x:v>Structured-output validity</x:v>
      </x:c>
      <x:c r="M4" s="22" t="str">
        <x:v>Median inference (s)</x:v>
      </x:c>
      <x:c r="N4" s="22" t="str">
        <x:v>Token-limit hit</x:v>
      </x:c>
    </x:row>
    <x:row r="5">
      <x:c r="A5" s="28" t="str">
        <x:v>Llama 3.1 8B</x:v>
      </x:c>
      <x:c r="B5" s="48" t="n">
        <x:f>Raw_ModelComparison!R2</x:f>
        <x:v>0.3714285714285714</x:v>
      </x:c>
      <x:c r="C5" s="48" t="n">
        <x:f>Raw_ModelComparison!S2</x:f>
        <x:v>0.7288628571428571</x:v>
      </x:c>
      <x:c r="D5" s="48" t="n">
        <x:f>Raw_ModelComparison!AA2</x:f>
        <x:v>0.4642857142857143</x:v>
      </x:c>
      <x:c r="E5" s="48" t="n">
        <x:f>Raw_ModelComparison!AB2</x:f>
        <x:v>0.6190476190476191</x:v>
      </x:c>
      <x:c r="F5" s="48" t="n">
        <x:f>Raw_ModelComparison!W2</x:f>
        <x:v>0.5714285714285714</x:v>
      </x:c>
      <x:c r="G5" s="48" t="n">
        <x:f>Raw_ModelComparison!AC2</x:f>
        <x:v>0.3714285714285714</x:v>
      </x:c>
      <x:c r="H5" s="48" t="n">
        <x:f>Raw_ModelComparison!AE2</x:f>
        <x:v>0</x:v>
      </x:c>
      <x:c r="I5" s="48" t="n">
        <x:f>Raw_ModelComparison!AF2</x:f>
        <x:v>0</x:v>
      </x:c>
      <x:c r="J5" s="48" t="n">
        <x:f>Raw_ModelComparison!AG2</x:f>
        <x:v>0</x:v>
      </x:c>
      <x:c r="K5" s="48" t="n">
        <x:f>Raw_ModelComparison!AH2</x:f>
        <x:v>0.08571428571428572</x:v>
      </x:c>
      <x:c r="L5" s="48" t="n">
        <x:f>Raw_ModelComparison!K2</x:f>
        <x:v>1</x:v>
      </x:c>
      <x:c r="M5" s="49" t="n">
        <x:f>Raw_ModelComparison!AJ2</x:f>
        <x:v>4.420765053999958</x:v>
      </x:c>
      <x:c r="N5" s="48" t="n">
        <x:f>Raw_ModelComparison!AK2</x:f>
        <x:v>0</x:v>
      </x:c>
    </x:row>
    <x:row r="6">
      <x:c r="A6" s="28" t="str">
        <x:v>Qwen2.5 7B</x:v>
      </x:c>
      <x:c r="B6" s="48" t="n">
        <x:f>Raw_ModelComparison!R3</x:f>
        <x:v>0.4857142857142857</x:v>
      </x:c>
      <x:c r="C6" s="48" t="n">
        <x:f>Raw_ModelComparison!S3</x:f>
        <x:v>0.7994485714285715</x:v>
      </x:c>
      <x:c r="D6" s="48" t="n">
        <x:f>Raw_ModelComparison!AA3</x:f>
        <x:v>0.6785714285714286</x:v>
      </x:c>
      <x:c r="E6" s="48" t="n">
        <x:f>Raw_ModelComparison!AB3</x:f>
        <x:v>0.9047619047619048</x:v>
      </x:c>
      <x:c r="F6" s="48" t="n">
        <x:f>Raw_ModelComparison!W3</x:f>
        <x:v>0.6785714285714286</x:v>
      </x:c>
      <x:c r="G6" s="48" t="n">
        <x:f>Raw_ModelComparison!AC3</x:f>
        <x:v>0.7714285714285715</x:v>
      </x:c>
      <x:c r="H6" s="48" t="n">
        <x:f>Raw_ModelComparison!AE3</x:f>
        <x:v>1</x:v>
      </x:c>
      <x:c r="I6" s="48" t="n">
        <x:f>Raw_ModelComparison!AF3</x:f>
        <x:v>0.5714285714285714</x:v>
      </x:c>
      <x:c r="J6" s="48" t="n">
        <x:f>Raw_ModelComparison!AG3</x:f>
        <x:v>0.7272727272727273</x:v>
      </x:c>
      <x:c r="K6" s="48" t="n">
        <x:f>Raw_ModelComparison!AH3</x:f>
        <x:v>0.4</x:v>
      </x:c>
      <x:c r="L6" s="48" t="n">
        <x:f>Raw_ModelComparison!K3</x:f>
        <x:v>0.9714285714285714</x:v>
      </x:c>
      <x:c r="M6" s="49" t="n">
        <x:f>Raw_ModelComparison!AJ3</x:f>
        <x:v>4.751639589999968</x:v>
      </x:c>
      <x:c r="N6" s="48" t="n">
        <x:f>Raw_ModelComparison!AK3</x:f>
        <x:v>0</x:v>
      </x:c>
    </x:row>
    <x:row r="7">
      <x:c r="A7" s="28" t="str">
        <x:v>DeepSeek 7B</x:v>
      </x:c>
      <x:c r="B7" s="48" t="n">
        <x:f>Raw_ModelComparison!R4</x:f>
        <x:v>0.4</x:v>
      </x:c>
      <x:c r="C7" s="48" t="n">
        <x:f>Raw_ModelComparison!S4</x:f>
        <x:v>0.7301485714285714</x:v>
      </x:c>
      <x:c r="D7" s="48" t="n">
        <x:f>Raw_ModelComparison!AA4</x:f>
        <x:v>0.1785714285714286</x:v>
      </x:c>
      <x:c r="E7" s="48" t="n">
        <x:f>Raw_ModelComparison!AB4</x:f>
        <x:v>0.2380952380952381</x:v>
      </x:c>
      <x:c r="F7" s="48" t="n">
        <x:f>Raw_ModelComparison!W4</x:f>
        <x:v>0.5</x:v>
      </x:c>
      <x:c r="G7" s="48" t="n">
        <x:f>Raw_ModelComparison!AC4</x:f>
        <x:v>0.3714285714285714</x:v>
      </x:c>
      <x:c r="H7" s="48" t="n">
        <x:f>Raw_ModelComparison!AE4</x:f>
        <x:v>0</x:v>
      </x:c>
      <x:c r="I7" s="48" t="n">
        <x:f>Raw_ModelComparison!AF4</x:f>
        <x:v>0</x:v>
      </x:c>
      <x:c r="J7" s="48" t="n">
        <x:f>Raw_ModelComparison!AG4</x:f>
        <x:v>0</x:v>
      </x:c>
      <x:c r="K7" s="48" t="n">
        <x:f>Raw_ModelComparison!AH4</x:f>
        <x:v>0.02857142857142857</x:v>
      </x:c>
      <x:c r="L7" s="48" t="n">
        <x:f>Raw_ModelComparison!K4</x:f>
        <x:v>0.9142857142857143</x:v>
      </x:c>
      <x:c r="M7" s="49" t="n">
        <x:f>Raw_ModelComparison!AJ4</x:f>
        <x:v>7.364236909000283</x:v>
      </x:c>
      <x:c r="N7" s="48" t="n">
        <x:f>Raw_ModelComparison!AK4</x:f>
        <x:v>0</x:v>
      </x:c>
    </x:row>
    <x:row r="8">
      <x:c r="A8" s="28" t="str">
        <x:v>Mistral 7B</x:v>
      </x:c>
      <x:c r="B8" s="48" t="n">
        <x:f>Raw_ModelComparison!R5</x:f>
        <x:v>0.2857142857142857</x:v>
      </x:c>
      <x:c r="C8" s="48" t="n">
        <x:f>Raw_ModelComparison!S5</x:f>
        <x:v>0.703082857142857</x:v>
      </x:c>
      <x:c r="D8" s="48" t="n">
        <x:f>Raw_ModelComparison!AA5</x:f>
        <x:v>0.5714285714285714</x:v>
      </x:c>
      <x:c r="E8" s="48" t="n">
        <x:f>Raw_ModelComparison!AB5</x:f>
        <x:v>0.7619047619047619</x:v>
      </x:c>
      <x:c r="F8" s="48" t="n">
        <x:f>Raw_ModelComparison!W5</x:f>
        <x:v>0.6428571428571429</x:v>
      </x:c>
      <x:c r="G8" s="48" t="n">
        <x:f>Raw_ModelComparison!AC5</x:f>
        <x:v>0.5142857142857142</x:v>
      </x:c>
      <x:c r="H8" s="48" t="n">
        <x:f>Raw_ModelComparison!AE5</x:f>
        <x:v>1</x:v>
      </x:c>
      <x:c r="I8" s="48" t="n">
        <x:f>Raw_ModelComparison!AF5</x:f>
        <x:v>0.1428571428571428</x:v>
      </x:c>
      <x:c r="J8" s="48" t="n">
        <x:f>Raw_ModelComparison!AG5</x:f>
        <x:v>0.25</x:v>
      </x:c>
      <x:c r="K8" s="48" t="n">
        <x:f>Raw_ModelComparison!AH5</x:f>
        <x:v>0.08571428571428572</x:v>
      </x:c>
      <x:c r="L8" s="48" t="n">
        <x:f>Raw_ModelComparison!K5</x:f>
        <x:v>0.9714285714285714</x:v>
      </x:c>
      <x:c r="M8" s="49" t="n">
        <x:f>Raw_ModelComparison!AJ5</x:f>
        <x:v>7.577631692000068</x:v>
      </x:c>
      <x:c r="N8" s="48" t="n">
        <x:f>Raw_ModelComparison!AK5</x:f>
        <x:v>0</x:v>
      </x:c>
    </x:row>
    <x:row r="11">
      <x:c r="A11" s="22" t="str">
        <x:v>Model</x:v>
      </x:c>
      <x:c r="B11" s="22" t="str">
        <x:v>Metric</x:v>
      </x:c>
      <x:c r="C11" s="22" t="str">
        <x:v>Correct</x:v>
      </x:c>
      <x:c r="D11" s="22" t="str">
        <x:v>N</x:v>
      </x:c>
      <x:c r="E11" s="22" t="str">
        <x:v>Estimate</x:v>
      </x:c>
      <x:c r="F11" s="22" t="str">
        <x:v>95% Wilson CI</x:v>
      </x:c>
    </x:row>
    <x:row r="12">
      <x:c r="A12" t="str">
        <x:v>Llama 3.1 8B</x:v>
      </x:c>
      <x:c r="B12" t="str">
        <x:v>Exact process selection</x:v>
      </x:c>
      <x:c r="C12" t="n">
        <x:v>13</x:v>
      </x:c>
      <x:c r="D12" t="n">
        <x:v>28</x:v>
      </x:c>
      <x:c r="E12" s="44" t="n">
        <x:v>0.4642857142857143</x:v>
      </x:c>
      <x:c r="F12" t="str">
        <x:v>29.5%–64.2%</x:v>
      </x:c>
    </x:row>
    <x:row r="13">
      <x:c r="A13" t="str">
        <x:v>Llama 3.1 8B</x:v>
      </x:c>
      <x:c r="B13" t="str">
        <x:v>Conditional process selection</x:v>
      </x:c>
      <x:c r="C13" t="n">
        <x:v>13</x:v>
      </x:c>
      <x:c r="D13" t="n">
        <x:v>21</x:v>
      </x:c>
      <x:c r="E13" s="44" t="n">
        <x:v>0.6190476190476191</x:v>
      </x:c>
      <x:c r="F13" t="str">
        <x:v>40.9%–79.2%</x:v>
      </x:c>
    </x:row>
    <x:row r="14">
      <x:c r="A14" t="str">
        <x:v>Llama 3.1 8B</x:v>
      </x:c>
      <x:c r="B14" t="str">
        <x:v>Match-type accuracy</x:v>
      </x:c>
      <x:c r="C14" t="n">
        <x:v>13</x:v>
      </x:c>
      <x:c r="D14" t="n">
        <x:v>35</x:v>
      </x:c>
      <x:c r="E14" s="44" t="n">
        <x:v>0.37142857142857144</x:v>
      </x:c>
      <x:c r="F14" t="str">
        <x:v>23.2%–53.7%</x:v>
      </x:c>
    </x:row>
    <x:row r="15">
      <x:c r="A15" t="str">
        <x:v>Llama 3.1 8B</x:v>
      </x:c>
      <x:c r="B15" t="str">
        <x:v>Full-reference accuracy</x:v>
      </x:c>
      <x:c r="C15" t="n">
        <x:v>3</x:v>
      </x:c>
      <x:c r="D15" t="n">
        <x:v>35</x:v>
      </x:c>
      <x:c r="E15" s="44" t="n">
        <x:v>0.08571428571428572</x:v>
      </x:c>
      <x:c r="F15" t="str">
        <x:v>3.0%–22.4%</x:v>
      </x:c>
    </x:row>
    <x:row r="16">
      <x:c r="A16" t="str">
        <x:v>Llama 3.1 8B</x:v>
      </x:c>
      <x:c r="B16" t="str">
        <x:v>Structured-output validity</x:v>
      </x:c>
      <x:c r="C16" t="n">
        <x:v>35</x:v>
      </x:c>
      <x:c r="D16" t="n">
        <x:v>35</x:v>
      </x:c>
      <x:c r="E16" s="44" t="n">
        <x:v>1</x:v>
      </x:c>
      <x:c r="F16" t="str">
        <x:v>90.1%–100.0%</x:v>
      </x:c>
    </x:row>
    <x:row r="17">
      <x:c r="A17" t="str">
        <x:v>Qwen2.5 7B</x:v>
      </x:c>
      <x:c r="B17" t="str">
        <x:v>Exact process selection</x:v>
      </x:c>
      <x:c r="C17" t="n">
        <x:v>19</x:v>
      </x:c>
      <x:c r="D17" t="n">
        <x:v>28</x:v>
      </x:c>
      <x:c r="E17" s="44" t="n">
        <x:v>0.6785714285714286</x:v>
      </x:c>
      <x:c r="F17" t="str">
        <x:v>49.3%–82.1%</x:v>
      </x:c>
    </x:row>
    <x:row r="18">
      <x:c r="A18" t="str">
        <x:v>Qwen2.5 7B</x:v>
      </x:c>
      <x:c r="B18" t="str">
        <x:v>Conditional process selection</x:v>
      </x:c>
      <x:c r="C18" t="n">
        <x:v>19</x:v>
      </x:c>
      <x:c r="D18" t="n">
        <x:v>21</x:v>
      </x:c>
      <x:c r="E18" s="44" t="n">
        <x:v>0.9047619047619048</x:v>
      </x:c>
      <x:c r="F18" t="str">
        <x:v>71.1%–97.3%</x:v>
      </x:c>
    </x:row>
    <x:row r="19">
      <x:c r="A19" t="str">
        <x:v>Qwen2.5 7B</x:v>
      </x:c>
      <x:c r="B19" t="str">
        <x:v>Match-type accuracy</x:v>
      </x:c>
      <x:c r="C19" t="n">
        <x:v>27</x:v>
      </x:c>
      <x:c r="D19" t="n">
        <x:v>35</x:v>
      </x:c>
      <x:c r="E19" s="44" t="n">
        <x:v>0.7714285714285715</x:v>
      </x:c>
      <x:c r="F19" t="str">
        <x:v>61.0%–87.9%</x:v>
      </x:c>
    </x:row>
    <x:row r="20">
      <x:c r="A20" t="str">
        <x:v>Qwen2.5 7B</x:v>
      </x:c>
      <x:c r="B20" t="str">
        <x:v>Full-reference accuracy</x:v>
      </x:c>
      <x:c r="C20" t="n">
        <x:v>14</x:v>
      </x:c>
      <x:c r="D20" t="n">
        <x:v>35</x:v>
      </x:c>
      <x:c r="E20" s="44" t="n">
        <x:v>0.4</x:v>
      </x:c>
      <x:c r="F20" t="str">
        <x:v>25.6%–56.4%</x:v>
      </x:c>
    </x:row>
    <x:row r="21">
      <x:c r="A21" t="str">
        <x:v>Qwen2.5 7B</x:v>
      </x:c>
      <x:c r="B21" t="str">
        <x:v>Structured-output validity</x:v>
      </x:c>
      <x:c r="C21" t="n">
        <x:v>34</x:v>
      </x:c>
      <x:c r="D21" t="n">
        <x:v>35</x:v>
      </x:c>
      <x:c r="E21" s="44" t="n">
        <x:v>0.9714285714285714</x:v>
      </x:c>
      <x:c r="F21" t="str">
        <x:v>85.5%–99.5%</x:v>
      </x:c>
    </x:row>
    <x:row r="22">
      <x:c r="A22" t="str">
        <x:v>DeepSeek 7B</x:v>
      </x:c>
      <x:c r="B22" t="str">
        <x:v>Exact process selection</x:v>
      </x:c>
      <x:c r="C22" t="n">
        <x:v>5</x:v>
      </x:c>
      <x:c r="D22" t="n">
        <x:v>28</x:v>
      </x:c>
      <x:c r="E22" s="44" t="n">
        <x:v>0.17857142857142858</x:v>
      </x:c>
      <x:c r="F22" t="str">
        <x:v>7.9%–35.6%</x:v>
      </x:c>
    </x:row>
    <x:row r="23">
      <x:c r="A23" t="str">
        <x:v>DeepSeek 7B</x:v>
      </x:c>
      <x:c r="B23" t="str">
        <x:v>Conditional process selection</x:v>
      </x:c>
      <x:c r="C23" t="n">
        <x:v>5</x:v>
      </x:c>
      <x:c r="D23" t="n">
        <x:v>21</x:v>
      </x:c>
      <x:c r="E23" s="44" t="n">
        <x:v>0.23809523809523808</x:v>
      </x:c>
      <x:c r="F23" t="str">
        <x:v>10.6%–45.1%</x:v>
      </x:c>
    </x:row>
    <x:row r="24">
      <x:c r="A24" t="str">
        <x:v>DeepSeek 7B</x:v>
      </x:c>
      <x:c r="B24" t="str">
        <x:v>Match-type accuracy</x:v>
      </x:c>
      <x:c r="C24" t="n">
        <x:v>13</x:v>
      </x:c>
      <x:c r="D24" t="n">
        <x:v>35</x:v>
      </x:c>
      <x:c r="E24" s="44" t="n">
        <x:v>0.37142857142857144</x:v>
      </x:c>
      <x:c r="F24" t="str">
        <x:v>23.2%–53.7%</x:v>
      </x:c>
    </x:row>
    <x:row r="25">
      <x:c r="A25" t="str">
        <x:v>DeepSeek 7B</x:v>
      </x:c>
      <x:c r="B25" t="str">
        <x:v>Full-reference accuracy</x:v>
      </x:c>
      <x:c r="C25" t="n">
        <x:v>1</x:v>
      </x:c>
      <x:c r="D25" t="n">
        <x:v>35</x:v>
      </x:c>
      <x:c r="E25" s="44" t="n">
        <x:v>0.02857142857142857</x:v>
      </x:c>
      <x:c r="F25" t="str">
        <x:v>0.5%–14.5%</x:v>
      </x:c>
    </x:row>
    <x:row r="26">
      <x:c r="A26" t="str">
        <x:v>DeepSeek 7B</x:v>
      </x:c>
      <x:c r="B26" t="str">
        <x:v>Structured-output validity</x:v>
      </x:c>
      <x:c r="C26" t="n">
        <x:v>32</x:v>
      </x:c>
      <x:c r="D26" t="n">
        <x:v>35</x:v>
      </x:c>
      <x:c r="E26" s="44" t="n">
        <x:v>0.9142857142857143</x:v>
      </x:c>
      <x:c r="F26" t="str">
        <x:v>77.6%–97.0%</x:v>
      </x:c>
    </x:row>
    <x:row r="27">
      <x:c r="A27" t="str">
        <x:v>Mistral 7B</x:v>
      </x:c>
      <x:c r="B27" t="str">
        <x:v>Exact process selection</x:v>
      </x:c>
      <x:c r="C27" t="n">
        <x:v>16</x:v>
      </x:c>
      <x:c r="D27" t="n">
        <x:v>28</x:v>
      </x:c>
      <x:c r="E27" s="44" t="n">
        <x:v>0.5714285714285714</x:v>
      </x:c>
      <x:c r="F27" t="str">
        <x:v>39.1%–73.5%</x:v>
      </x:c>
    </x:row>
    <x:row r="28">
      <x:c r="A28" t="str">
        <x:v>Mistral 7B</x:v>
      </x:c>
      <x:c r="B28" t="str">
        <x:v>Conditional process selection</x:v>
      </x:c>
      <x:c r="C28" t="n">
        <x:v>16</x:v>
      </x:c>
      <x:c r="D28" t="n">
        <x:v>21</x:v>
      </x:c>
      <x:c r="E28" s="44" t="n">
        <x:v>0.7619047619047619</x:v>
      </x:c>
      <x:c r="F28" t="str">
        <x:v>54.9%–89.4%</x:v>
      </x:c>
    </x:row>
    <x:row r="29">
      <x:c r="A29" t="str">
        <x:v>Mistral 7B</x:v>
      </x:c>
      <x:c r="B29" t="str">
        <x:v>Match-type accuracy</x:v>
      </x:c>
      <x:c r="C29" t="n">
        <x:v>18</x:v>
      </x:c>
      <x:c r="D29" t="n">
        <x:v>35</x:v>
      </x:c>
      <x:c r="E29" s="44" t="n">
        <x:v>0.5142857142857142</x:v>
      </x:c>
      <x:c r="F29" t="str">
        <x:v>35.6%–67.0%</x:v>
      </x:c>
    </x:row>
    <x:row r="30">
      <x:c r="A30" t="str">
        <x:v>Mistral 7B</x:v>
      </x:c>
      <x:c r="B30" t="str">
        <x:v>Full-reference accuracy</x:v>
      </x:c>
      <x:c r="C30" t="n">
        <x:v>3</x:v>
      </x:c>
      <x:c r="D30" t="n">
        <x:v>35</x:v>
      </x:c>
      <x:c r="E30" s="44" t="n">
        <x:v>0.08571428571428572</x:v>
      </x:c>
      <x:c r="F30" t="str">
        <x:v>3.0%–22.4%</x:v>
      </x:c>
    </x:row>
    <x:row r="31">
      <x:c r="A31" t="str">
        <x:v>Mistral 7B</x:v>
      </x:c>
      <x:c r="B31" t="str">
        <x:v>Structured-output validity</x:v>
      </x:c>
      <x:c r="C31" t="n">
        <x:v>34</x:v>
      </x:c>
      <x:c r="D31" t="n">
        <x:v>35</x:v>
      </x:c>
      <x:c r="E31" s="44" t="n">
        <x:v>0.9714285714285714</x:v>
      </x:c>
      <x:c r="F31" t="str">
        <x:v>85.5%–99.5%</x:v>
      </x:c>
    </x:row>
  </x:sheetData>
  <x:mergeCells>
    <x:mergeCell ref="A1:N1"/>
    <x:mergeCell ref="A2:N2"/>
  </x:mergeCells>
  <x:conditionalFormatting sqref="B5:L8">
    <x:cfRule type="colorScale" priority="1">
      <x:colorScale>
        <x:cfvo type="min"/>
        <x:cfvo type="percentile" val="50"/>
        <x:cfvo type="max"/>
        <x:color rgb="FFFCE4D6"/>
        <x:color rgb="FFFFF2CC"/>
        <x:color rgb="FFE2F0D9"/>
      </x:colorScale>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26" customHeight="1">
      <x:c r="A1" s="4" t="str">
        <x:v>TF-IDF Baseline and LLM Reranking</x:v>
      </x:c>
      <x:c r="B1" s="4"/>
      <x:c r="C1" s="4"/>
      <x:c r="D1" s="4"/>
      <x:c r="E1" s="4"/>
      <x:c r="F1" s="4"/>
      <x:c r="G1" s="4"/>
      <x:c r="H1" s="4"/>
      <x:c r="I1" s="4"/>
      <x:c r="J1" s="4"/>
    </x:row>
    <x:row r="2" ht="32" customHeight="1">
      <x:c r="A2" s="10" t="str">
        <x:v>All exact process-selection calculations use the 28 Direct/Proxy reference items. The expert UUID is present in Top-5 for 21/28 items.</x:v>
      </x:c>
      <x:c r="B2" s="10"/>
      <x:c r="C2" s="10"/>
      <x:c r="D2" s="10"/>
      <x:c r="E2" s="10"/>
      <x:c r="F2" s="10"/>
      <x:c r="G2" s="10"/>
      <x:c r="H2" s="10"/>
      <x:c r="I2" s="10"/>
      <x:c r="J2" s="10"/>
    </x:row>
    <x:row r="4">
      <x:c r="A4" s="22" t="str">
        <x:v>Retrieval quantity</x:v>
      </x:c>
      <x:c r="B4" s="22" t="str">
        <x:v>Value</x:v>
      </x:c>
    </x:row>
    <x:row r="5">
      <x:c r="A5" t="str">
        <x:v>Matched Direct/Proxy items</x:v>
      </x:c>
      <x:c r="B5" t="n">
        <x:v>28</x:v>
      </x:c>
    </x:row>
    <x:row r="6">
      <x:c r="A6" t="str">
        <x:v>Expert UUID in TF-IDF Top-5</x:v>
      </x:c>
      <x:c r="B6" t="n">
        <x:v>21</x:v>
      </x:c>
    </x:row>
    <x:row r="7">
      <x:c r="A7" t="str">
        <x:v>Top-5 candidate recall</x:v>
      </x:c>
      <x:c r="B7" s="44" t="n">
        <x:v>0.75</x:v>
      </x:c>
    </x:row>
    <x:row r="8">
      <x:c r="A8" t="str">
        <x:v>TF-IDF Top-1 exact baseline</x:v>
      </x:c>
      <x:c r="B8" s="44" t="n">
        <x:v>0.39285714285714285</x:v>
      </x:c>
    </x:row>
    <x:row r="11">
      <x:c r="A11" s="22" t="str">
        <x:v>Model</x:v>
      </x:c>
      <x:c r="B11" s="22" t="str">
        <x:v>Exact selections</x:v>
      </x:c>
      <x:c r="C11" s="22" t="str">
        <x:v>Overall selection</x:v>
      </x:c>
      <x:c r="D11" s="22" t="str">
        <x:v>Preserved TF-IDF #1</x:v>
      </x:c>
      <x:c r="E11" s="22" t="str">
        <x:v>Preservation rate</x:v>
      </x:c>
      <x:c r="F11" s="22" t="str">
        <x:v>Rescued ranks 2–5</x:v>
      </x:c>
      <x:c r="G11" s="22" t="str">
        <x:v>Rescue rate</x:v>
      </x:c>
      <x:c r="H11" s="22" t="str">
        <x:v>Net correct vs TF-IDF</x:v>
      </x:c>
      <x:c r="I11" s="22" t="str">
        <x:v>Net improvement (pp)</x:v>
      </x:c>
      <x:c r="J11" s="22" t="str">
        <x:v>Retrieval-limited items</x:v>
      </x:c>
    </x:row>
    <x:row r="12">
      <x:c r="A12" s="28" t="str">
        <x:v>Llama 3.1 8B</x:v>
      </x:c>
      <x:c r="B12" s="28" t="n">
        <x:v>13</x:v>
      </x:c>
      <x:c r="C12" s="48" t="n">
        <x:f>B12/28</x:f>
        <x:v>0.4642857142857143</x:v>
      </x:c>
      <x:c r="D12" s="28" t="n">
        <x:v>7</x:v>
      </x:c>
      <x:c r="E12" s="48" t="n">
        <x:f>D12/11</x:f>
        <x:v>0.6363636363636364</x:v>
      </x:c>
      <x:c r="F12" s="28" t="n">
        <x:v>6</x:v>
      </x:c>
      <x:c r="G12" s="48" t="n">
        <x:f>F12/10</x:f>
        <x:v>0.6</x:v>
      </x:c>
      <x:c r="H12" s="28" t="n">
        <x:f>B12-11</x:f>
        <x:v>2</x:v>
      </x:c>
      <x:c r="I12" s="54" t="n">
        <x:f>(C12-$B$8)*100</x:f>
        <x:v>7.142857142857145</x:v>
      </x:c>
      <x:c r="J12" s="28" t="n">
        <x:v>7</x:v>
      </x:c>
    </x:row>
    <x:row r="13">
      <x:c r="A13" s="28" t="str">
        <x:v>Qwen2.5 7B</x:v>
      </x:c>
      <x:c r="B13" s="28" t="n">
        <x:v>19</x:v>
      </x:c>
      <x:c r="C13" s="48" t="n">
        <x:f>B13/28</x:f>
        <x:v>0.6785714285714286</x:v>
      </x:c>
      <x:c r="D13" s="28" t="n">
        <x:v>10</x:v>
      </x:c>
      <x:c r="E13" s="48" t="n">
        <x:f>D13/11</x:f>
        <x:v>0.9090909090909091</x:v>
      </x:c>
      <x:c r="F13" s="28" t="n">
        <x:v>9</x:v>
      </x:c>
      <x:c r="G13" s="48" t="n">
        <x:f>F13/10</x:f>
        <x:v>0.9</x:v>
      </x:c>
      <x:c r="H13" s="28" t="n">
        <x:f>B13-11</x:f>
        <x:v>8</x:v>
      </x:c>
      <x:c r="I13" s="54" t="n">
        <x:f>(C13-$B$8)*100</x:f>
        <x:v>28.571428571428577</x:v>
      </x:c>
      <x:c r="J13" s="28" t="n">
        <x:v>7</x:v>
      </x:c>
    </x:row>
    <x:row r="14">
      <x:c r="A14" s="28" t="str">
        <x:v>DeepSeek 7B</x:v>
      </x:c>
      <x:c r="B14" s="28" t="n">
        <x:v>5</x:v>
      </x:c>
      <x:c r="C14" s="48" t="n">
        <x:f>B14/28</x:f>
        <x:v>0.17857142857142858</x:v>
      </x:c>
      <x:c r="D14" s="28" t="n">
        <x:v>2</x:v>
      </x:c>
      <x:c r="E14" s="48" t="n">
        <x:f>D14/11</x:f>
        <x:v>0.18181818181818182</x:v>
      </x:c>
      <x:c r="F14" s="28" t="n">
        <x:v>3</x:v>
      </x:c>
      <x:c r="G14" s="48" t="n">
        <x:f>F14/10</x:f>
        <x:v>0.3</x:v>
      </x:c>
      <x:c r="H14" s="28" t="n">
        <x:f>B14-11</x:f>
        <x:v>-6</x:v>
      </x:c>
      <x:c r="I14" s="54" t="n">
        <x:f>(C14-$B$8)*100</x:f>
        <x:v>-21.428571428571427</x:v>
      </x:c>
      <x:c r="J14" s="28" t="n">
        <x:v>7</x:v>
      </x:c>
    </x:row>
    <x:row r="15">
      <x:c r="A15" s="28" t="str">
        <x:v>Mistral 7B</x:v>
      </x:c>
      <x:c r="B15" s="28" t="n">
        <x:v>16</x:v>
      </x:c>
      <x:c r="C15" s="48" t="n">
        <x:f>B15/28</x:f>
        <x:v>0.5714285714285714</x:v>
      </x:c>
      <x:c r="D15" s="28" t="n">
        <x:v>7</x:v>
      </x:c>
      <x:c r="E15" s="48" t="n">
        <x:f>D15/11</x:f>
        <x:v>0.6363636363636364</x:v>
      </x:c>
      <x:c r="F15" s="28" t="n">
        <x:v>9</x:v>
      </x:c>
      <x:c r="G15" s="48" t="n">
        <x:f>F15/10</x:f>
        <x:v>0.9</x:v>
      </x:c>
      <x:c r="H15" s="28" t="n">
        <x:f>B15-11</x:f>
        <x:v>5</x:v>
      </x:c>
      <x:c r="I15" s="54" t="n">
        <x:f>(C15-$B$8)*100</x:f>
        <x:v>17.857142857142854</x:v>
      </x:c>
      <x:c r="J15" s="28" t="n">
        <x:v>7</x:v>
      </x:c>
    </x:row>
    <x:row r="19">
      <x:c r="A19" s="22" t="str">
        <x:v>Model</x:v>
      </x:c>
      <x:c r="B19" s="22" t="str">
        <x:v>LLM gains over TF-IDF</x:v>
      </x:c>
      <x:c r="C19" s="22" t="str">
        <x:v>LLM harms vs TF-IDF</x:v>
      </x:c>
      <x:c r="D19" s="22" t="str">
        <x:v>Net paired gains</x:v>
      </x:c>
      <x:c r="E19" s="22" t="str">
        <x:v>Exact McNemar p</x:v>
      </x:c>
      <x:c r="F19" s="22" t="str">
        <x:v>Holm-adjusted p</x:v>
      </x:c>
    </x:row>
    <x:row r="20">
      <x:c r="A20" t="str">
        <x:v>Llama 3.1 8B</x:v>
      </x:c>
      <x:c r="B20" t="n">
        <x:v>6</x:v>
      </x:c>
      <x:c r="C20" t="n">
        <x:v>4</x:v>
      </x:c>
      <x:c r="D20" t="n">
        <x:v>2</x:v>
      </x:c>
      <x:c r="E20" s="56" t="n">
        <x:v>0.75390625</x:v>
      </x:c>
      <x:c r="F20" s="56" t="n">
        <x:v>0.75390625</x:v>
      </x:c>
    </x:row>
    <x:row r="21">
      <x:c r="A21" t="str">
        <x:v>Qwen2.5 7B</x:v>
      </x:c>
      <x:c r="B21" t="n">
        <x:v>9</x:v>
      </x:c>
      <x:c r="C21" t="n">
        <x:v>1</x:v>
      </x:c>
      <x:c r="D21" t="n">
        <x:v>8</x:v>
      </x:c>
      <x:c r="E21" s="56" t="n">
        <x:v>0.021484375</x:v>
      </x:c>
      <x:c r="F21" s="56" t="n">
        <x:v>0.0859375</x:v>
      </x:c>
    </x:row>
    <x:row r="22">
      <x:c r="A22" t="str">
        <x:v>DeepSeek 7B</x:v>
      </x:c>
      <x:c r="B22" t="n">
        <x:v>3</x:v>
      </x:c>
      <x:c r="C22" t="n">
        <x:v>9</x:v>
      </x:c>
      <x:c r="D22" t="n">
        <x:v>-6</x:v>
      </x:c>
      <x:c r="E22" s="56" t="n">
        <x:v>0.14599609375</x:v>
      </x:c>
      <x:c r="F22" s="56" t="n">
        <x:v>0.43798828125</x:v>
      </x:c>
    </x:row>
    <x:row r="23">
      <x:c r="A23" t="str">
        <x:v>Mistral 7B</x:v>
      </x:c>
      <x:c r="B23" t="n">
        <x:v>9</x:v>
      </x:c>
      <x:c r="C23" t="n">
        <x:v>4</x:v>
      </x:c>
      <x:c r="D23" t="n">
        <x:v>5</x:v>
      </x:c>
      <x:c r="E23" s="56" t="n">
        <x:v>0.266845703125</x:v>
      </x:c>
      <x:c r="F23" s="56" t="n">
        <x:v>0.53369140625</x:v>
      </x:c>
    </x:row>
    <x:row r="25">
      <x:c r="A25" s="60" t="str">
        <x:v>Interpretation: Qwen generated 9 paired gains and only 1 paired harm relative to TF-IDF Top-1. Its unadjusted exact McNemar test versus TF-IDF was p=0.0215; after correcting the four model-vs-baseline comparisons with Holm, p=0.0859. Therefore the improvement is strong numerically and nominally significant, but the multiplicity-adjusted comparison should be described cautiously.</x:v>
      </x:c>
      <x:c r="B25" s="60"/>
      <x:c r="C25" s="60"/>
      <x:c r="D25" s="60"/>
      <x:c r="E25" s="60"/>
      <x:c r="F25" s="60"/>
      <x:c r="G25" s="60"/>
      <x:c r="H25" s="60"/>
      <x:c r="I25" s="60"/>
      <x:c r="J25" s="60"/>
    </x:row>
    <x:row r="26">
      <x:c r="A26" s="60"/>
      <x:c r="B26" s="60"/>
      <x:c r="C26" s="60"/>
      <x:c r="D26" s="60"/>
      <x:c r="E26" s="60"/>
      <x:c r="F26" s="60"/>
      <x:c r="G26" s="60"/>
      <x:c r="H26" s="60"/>
      <x:c r="I26" s="60"/>
      <x:c r="J26" s="60"/>
    </x:row>
    <x:row r="27">
      <x:c r="A27" s="60"/>
      <x:c r="B27" s="60"/>
      <x:c r="C27" s="60"/>
      <x:c r="D27" s="60"/>
      <x:c r="E27" s="60"/>
      <x:c r="F27" s="60"/>
      <x:c r="G27" s="60"/>
      <x:c r="H27" s="60"/>
      <x:c r="I27" s="60"/>
      <x:c r="J27" s="60"/>
    </x:row>
    <x:row r="28">
      <x:c r="A28" s="60"/>
      <x:c r="B28" s="60"/>
      <x:c r="C28" s="60"/>
      <x:c r="D28" s="60"/>
      <x:c r="E28" s="60"/>
      <x:c r="F28" s="60"/>
      <x:c r="G28" s="60"/>
      <x:c r="H28" s="60"/>
      <x:c r="I28" s="60"/>
      <x:c r="J28" s="60"/>
    </x:row>
  </x:sheetData>
  <x:mergeCells>
    <x:mergeCell ref="A1:J1"/>
    <x:mergeCell ref="A2:J2"/>
    <x:mergeCell ref="A25:J28"/>
  </x:mergeCell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50" hidden="0" customWidth="1"/>
  </x:cols>
  <x:sheetData>
    <x:row r="1" ht="26" customHeight="1">
      <x:c r="A1" s="4" t="str">
        <x:v>Direct / Proxy / Review Required Classification</x:v>
      </x:c>
      <x:c r="B1" s="4"/>
      <x:c r="C1" s="4"/>
      <x:c r="D1" s="4"/>
      <x:c r="E1" s="4"/>
      <x:c r="F1" s="4"/>
      <x:c r="G1" s="4"/>
      <x:c r="H1" s="4"/>
      <x:c r="I1" s="4"/>
      <x:c r="J1" s="4"/>
      <x:c r="K1" s="4"/>
      <x:c r="L1" s="4"/>
      <x:c r="M1" s="4"/>
      <x:c r="N1" s="4"/>
      <x:c r="O1" s="4"/>
      <x:c r="P1" s="4"/>
      <x:c r="Q1" s="4"/>
      <x:c r="R1" s="4"/>
      <x:c r="S1" s="4"/>
      <x:c r="T1" s="4"/>
      <x:c r="U1" s="4"/>
    </x:row>
    <x:row r="2" ht="32" customHeight="1">
      <x:c r="A2" s="10" t="str">
        <x:v>Confusion matrices include an Invalid column so malformed overall responses are not hidden.</x:v>
      </x:c>
      <x:c r="B2" s="10"/>
      <x:c r="C2" s="10"/>
      <x:c r="D2" s="10"/>
      <x:c r="E2" s="10"/>
      <x:c r="F2" s="10"/>
      <x:c r="G2" s="10"/>
      <x:c r="H2" s="10"/>
      <x:c r="I2" s="10"/>
      <x:c r="J2" s="10"/>
      <x:c r="K2" s="10"/>
      <x:c r="L2" s="10"/>
      <x:c r="M2" s="10"/>
      <x:c r="N2" s="10"/>
      <x:c r="O2" s="10"/>
      <x:c r="P2" s="10"/>
      <x:c r="Q2" s="10"/>
      <x:c r="R2" s="10"/>
      <x:c r="S2" s="10"/>
      <x:c r="T2" s="10"/>
      <x:c r="U2" s="10"/>
    </x:row>
    <x:row r="4">
      <x:c r="A4" s="34" t="str">
        <x:v>Llama 3.1 8B</x:v>
      </x:c>
      <x:c r="B4" s="34"/>
      <x:c r="C4" s="34"/>
      <x:c r="D4" s="34"/>
      <x:c r="E4" s="34"/>
      <x:c r="G4" s="34" t="str">
        <x:v>Qwen2.5 7B</x:v>
      </x:c>
      <x:c r="H4" s="34"/>
      <x:c r="I4" s="34"/>
      <x:c r="J4" s="34"/>
      <x:c r="K4" s="34"/>
      <x:c r="M4" s="34" t="str">
        <x:v>DeepSeek 7B</x:v>
      </x:c>
      <x:c r="N4" s="34"/>
      <x:c r="O4" s="34"/>
      <x:c r="P4" s="34"/>
      <x:c r="Q4" s="34"/>
      <x:c r="S4" s="34" t="str">
        <x:v>Mistral 7B</x:v>
      </x:c>
      <x:c r="T4" s="34"/>
      <x:c r="U4" s="34"/>
      <x:c r="V4" s="34"/>
      <x:c r="W4" s="34"/>
    </x:row>
    <x:row r="5">
      <x:c r="A5" s="22" t="str">
        <x:v>Reference \ Predicted</x:v>
      </x:c>
      <x:c r="B5" s="22" t="str">
        <x:v>Direct</x:v>
      </x:c>
      <x:c r="C5" s="22" t="str">
        <x:v>Proxy</x:v>
      </x:c>
      <x:c r="D5" s="22" t="str">
        <x:v>Review Required</x:v>
      </x:c>
      <x:c r="E5" s="22" t="str">
        <x:v>Invalid</x:v>
      </x:c>
      <x:c r="G5" s="22" t="str">
        <x:v>Reference \ Predicted</x:v>
      </x:c>
      <x:c r="H5" s="22" t="str">
        <x:v>Direct</x:v>
      </x:c>
      <x:c r="I5" s="22" t="str">
        <x:v>Proxy</x:v>
      </x:c>
      <x:c r="J5" s="22" t="str">
        <x:v>Review Required</x:v>
      </x:c>
      <x:c r="K5" s="22" t="str">
        <x:v>Invalid</x:v>
      </x:c>
      <x:c r="M5" s="22" t="str">
        <x:v>Reference \ Predicted</x:v>
      </x:c>
      <x:c r="N5" s="22" t="str">
        <x:v>Direct</x:v>
      </x:c>
      <x:c r="O5" s="22" t="str">
        <x:v>Proxy</x:v>
      </x:c>
      <x:c r="P5" s="22" t="str">
        <x:v>Review Required</x:v>
      </x:c>
      <x:c r="Q5" s="22" t="str">
        <x:v>Invalid</x:v>
      </x:c>
      <x:c r="S5" s="22" t="str">
        <x:v>Reference \ Predicted</x:v>
      </x:c>
      <x:c r="T5" s="22" t="str">
        <x:v>Direct</x:v>
      </x:c>
      <x:c r="U5" s="22" t="str">
        <x:v>Proxy</x:v>
      </x:c>
      <x:c r="V5" s="22" t="str">
        <x:v>Review Required</x:v>
      </x:c>
      <x:c r="W5" s="22" t="str">
        <x:v>Invalid</x:v>
      </x:c>
    </x:row>
    <x:row r="6">
      <x:c r="A6" t="str">
        <x:v>Direct</x:v>
      </x:c>
      <x:c r="B6" t="n">
        <x:v>9</x:v>
      </x:c>
      <x:c r="C6" t="n">
        <x:v>4</x:v>
      </x:c>
      <x:c r="D6" t="n">
        <x:v>0</x:v>
      </x:c>
      <x:c r="E6" t="n">
        <x:v>0</x:v>
      </x:c>
      <x:c r="G6" t="str">
        <x:v>Direct</x:v>
      </x:c>
      <x:c r="H6" t="n">
        <x:v>11</x:v>
      </x:c>
      <x:c r="I6" t="n">
        <x:v>2</x:v>
      </x:c>
      <x:c r="J6" t="n">
        <x:v>0</x:v>
      </x:c>
      <x:c r="K6" t="n">
        <x:v>0</x:v>
      </x:c>
      <x:c r="M6" t="str">
        <x:v>Direct</x:v>
      </x:c>
      <x:c r="N6" t="n">
        <x:v>10</x:v>
      </x:c>
      <x:c r="O6" t="n">
        <x:v>0</x:v>
      </x:c>
      <x:c r="P6" t="n">
        <x:v>0</x:v>
      </x:c>
      <x:c r="Q6" t="n">
        <x:v>3</x:v>
      </x:c>
      <x:c r="S6" t="str">
        <x:v>Direct</x:v>
      </x:c>
      <x:c r="T6" t="n">
        <x:v>5</x:v>
      </x:c>
      <x:c r="U6" t="n">
        <x:v>8</x:v>
      </x:c>
      <x:c r="V6" t="n">
        <x:v>0</x:v>
      </x:c>
      <x:c r="W6" t="n">
        <x:v>0</x:v>
      </x:c>
    </x:row>
    <x:row r="7">
      <x:c r="A7" t="str">
        <x:v>Proxy</x:v>
      </x:c>
      <x:c r="B7" t="n">
        <x:v>11</x:v>
      </x:c>
      <x:c r="C7" t="n">
        <x:v>4</x:v>
      </x:c>
      <x:c r="D7" t="n">
        <x:v>0</x:v>
      </x:c>
      <x:c r="E7" t="n">
        <x:v>0</x:v>
      </x:c>
      <x:c r="G7" t="str">
        <x:v>Proxy</x:v>
      </x:c>
      <x:c r="H7" t="n">
        <x:v>3</x:v>
      </x:c>
      <x:c r="I7" t="n">
        <x:v>11</x:v>
      </x:c>
      <x:c r="J7" t="n">
        <x:v>0</x:v>
      </x:c>
      <x:c r="K7" t="n">
        <x:v>1</x:v>
      </x:c>
      <x:c r="M7" t="str">
        <x:v>Proxy</x:v>
      </x:c>
      <x:c r="N7" t="n">
        <x:v>15</x:v>
      </x:c>
      <x:c r="O7" t="n">
        <x:v>0</x:v>
      </x:c>
      <x:c r="P7" t="n">
        <x:v>0</x:v>
      </x:c>
      <x:c r="Q7" t="n">
        <x:v>0</x:v>
      </x:c>
      <x:c r="S7" t="str">
        <x:v>Proxy</x:v>
      </x:c>
      <x:c r="T7" t="n">
        <x:v>3</x:v>
      </x:c>
      <x:c r="U7" t="n">
        <x:v>12</x:v>
      </x:c>
      <x:c r="V7" t="n">
        <x:v>0</x:v>
      </x:c>
      <x:c r="W7" t="n">
        <x:v>0</x:v>
      </x:c>
    </x:row>
    <x:row r="8">
      <x:c r="A8" t="str">
        <x:v>Review Required</x:v>
      </x:c>
      <x:c r="B8" t="n">
        <x:v>4</x:v>
      </x:c>
      <x:c r="C8" t="n">
        <x:v>3</x:v>
      </x:c>
      <x:c r="D8" t="n">
        <x:v>0</x:v>
      </x:c>
      <x:c r="E8" t="n">
        <x:v>0</x:v>
      </x:c>
      <x:c r="G8" t="str">
        <x:v>Review Required</x:v>
      </x:c>
      <x:c r="H8" t="n">
        <x:v>1</x:v>
      </x:c>
      <x:c r="I8" t="n">
        <x:v>2</x:v>
      </x:c>
      <x:c r="J8" t="n">
        <x:v>4</x:v>
      </x:c>
      <x:c r="K8" t="n">
        <x:v>0</x:v>
      </x:c>
      <x:c r="M8" t="str">
        <x:v>Review Required</x:v>
      </x:c>
      <x:c r="N8" t="n">
        <x:v>6</x:v>
      </x:c>
      <x:c r="O8" t="n">
        <x:v>1</x:v>
      </x:c>
      <x:c r="P8" t="n">
        <x:v>0</x:v>
      </x:c>
      <x:c r="Q8" t="n">
        <x:v>0</x:v>
      </x:c>
      <x:c r="S8" t="str">
        <x:v>Review Required</x:v>
      </x:c>
      <x:c r="T8" t="n">
        <x:v>1</x:v>
      </x:c>
      <x:c r="U8" t="n">
        <x:v>5</x:v>
      </x:c>
      <x:c r="V8" t="n">
        <x:v>0</x:v>
      </x:c>
      <x:c r="W8" t="n">
        <x:v>1</x:v>
      </x:c>
    </x:row>
    <x:row r="11">
      <x:c r="A11" s="22" t="str">
        <x:v>Model</x:v>
      </x:c>
      <x:c r="B11" s="22" t="str">
        <x:v>Match-type accuracy</x:v>
      </x:c>
      <x:c r="C11" s="22" t="str">
        <x:v>RR binary accuracy</x:v>
      </x:c>
      <x:c r="D11" s="22" t="str">
        <x:v>RR precision</x:v>
      </x:c>
      <x:c r="E11" s="22" t="str">
        <x:v>RR recall</x:v>
      </x:c>
      <x:c r="F11" s="22" t="str">
        <x:v>RR F1</x:v>
      </x:c>
      <x:c r="G11" s="22" t="str">
        <x:v>RR correct / 7</x:v>
      </x:c>
      <x:c r="H11" s="22" t="str">
        <x:v>Comment</x:v>
      </x:c>
    </x:row>
    <x:row r="12">
      <x:c r="A12" t="str">
        <x:v>Llama 3.1 8B</x:v>
      </x:c>
      <x:c r="B12" s="44" t="n">
        <x:v>0.3714285714285714</x:v>
      </x:c>
      <x:c r="C12" s="44" t="n">
        <x:v>0.8</x:v>
      </x:c>
      <x:c r="D12" s="44" t="n">
        <x:v>0</x:v>
      </x:c>
      <x:c r="E12" s="44" t="n">
        <x:v>0</x:v>
      </x:c>
      <x:c r="F12" s="44" t="n">
        <x:v>0</x:v>
      </x:c>
      <x:c r="G12" t="str">
        <x:v>0/7</x:v>
      </x:c>
      <x:c r="H12" s="28" t="str">
        <x:v>Never routed a reference Review Required item to Review Required.</x:v>
      </x:c>
    </x:row>
    <x:row r="13">
      <x:c r="A13" t="str">
        <x:v>Qwen2.5 7B</x:v>
      </x:c>
      <x:c r="B13" s="44" t="n">
        <x:v>0.7714285714285715</x:v>
      </x:c>
      <x:c r="C13" s="44" t="n">
        <x:v>0.9142857142857143</x:v>
      </x:c>
      <x:c r="D13" s="44" t="n">
        <x:v>1</x:v>
      </x:c>
      <x:c r="E13" s="44" t="n">
        <x:v>0.5714285714285714</x:v>
      </x:c>
      <x:c r="F13" s="44" t="n">
        <x:v>0.7272727272727273</x:v>
      </x:c>
      <x:c r="G13" t="str">
        <x:v>4/7</x:v>
      </x:c>
      <x:c r="H13" s="28" t="str">
        <x:v>Best unmatched-material behavior: 4/7 detected, with no false-positive Review Required predictions.</x:v>
      </x:c>
    </x:row>
    <x:row r="14">
      <x:c r="A14" t="str">
        <x:v>DeepSeek 7B</x:v>
      </x:c>
      <x:c r="B14" s="44" t="n">
        <x:v>0.3714285714285714</x:v>
      </x:c>
      <x:c r="C14" s="44" t="n">
        <x:v>0.8</x:v>
      </x:c>
      <x:c r="D14" s="44" t="n">
        <x:v>0</x:v>
      </x:c>
      <x:c r="E14" s="44" t="n">
        <x:v>0</x:v>
      </x:c>
      <x:c r="F14" s="44" t="n">
        <x:v>0</x:v>
      </x:c>
      <x:c r="G14" t="str">
        <x:v>0/7</x:v>
      </x:c>
      <x:c r="H14" s="28" t="str">
        <x:v>Never correctly routed a Review Required item.</x:v>
      </x:c>
    </x:row>
    <x:row r="15">
      <x:c r="A15" t="str">
        <x:v>Mistral 7B</x:v>
      </x:c>
      <x:c r="B15" s="44" t="n">
        <x:v>0.5142857142857142</x:v>
      </x:c>
      <x:c r="C15" s="44" t="n">
        <x:v>0.8285714285714286</x:v>
      </x:c>
      <x:c r="D15" s="44" t="n">
        <x:v>1</x:v>
      </x:c>
      <x:c r="E15" s="44" t="n">
        <x:v>0.1428571428571428</x:v>
      </x:c>
      <x:c r="F15" s="44" t="n">
        <x:v>0.25</x:v>
      </x:c>
      <x:c r="G15" t="str">
        <x:v>1/7</x:v>
      </x:c>
      <x:c r="H15" s="28" t="str">
        <x:v>Only 1/7 Review Required items correctly routed.</x:v>
      </x:c>
    </x:row>
  </x:sheetData>
  <x:mergeCells>
    <x:mergeCell ref="A1:U1"/>
    <x:mergeCell ref="A2:U2"/>
    <x:mergeCell ref="A4:E4"/>
    <x:mergeCell ref="G4:K4"/>
    <x:mergeCell ref="M4:Q4"/>
    <x:mergeCell ref="S4:W4"/>
  </x:mergeCell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8" hidden="0" customWidth="1"/>
  </x:cols>
  <x:sheetData>
    <x:row r="1" ht="26" customHeight="1">
      <x:c r="A1" s="4" t="str">
        <x:v>Reliability, Repeatability, and Latency</x:v>
      </x:c>
      <x:c r="B1" s="4"/>
      <x:c r="C1" s="4"/>
      <x:c r="D1" s="4"/>
      <x:c r="E1" s="4"/>
      <x:c r="F1" s="4"/>
      <x:c r="G1" s="4"/>
      <x:c r="H1" s="4"/>
      <x:c r="I1" s="4"/>
      <x:c r="J1" s="4"/>
      <x:c r="K1" s="4"/>
      <x:c r="L1" s="4"/>
      <x:c r="M1" s="4"/>
    </x:row>
    <x:row r="2" ht="32" customHeight="1">
      <x:c r="A2" s="10" t="str">
        <x:v>Repeatability uses the fixed 12-item subset. Strict agreement requires both runs to be valid; repeated invalid outputs do not count as success.</x:v>
      </x:c>
      <x:c r="B2" s="10"/>
      <x:c r="C2" s="10"/>
      <x:c r="D2" s="10"/>
      <x:c r="E2" s="10"/>
      <x:c r="F2" s="10"/>
      <x:c r="G2" s="10"/>
      <x:c r="H2" s="10"/>
      <x:c r="I2" s="10"/>
      <x:c r="J2" s="10"/>
      <x:c r="K2" s="10"/>
      <x:c r="L2" s="10"/>
      <x:c r="M2" s="10"/>
    </x:row>
    <x:row r="4">
      <x:c r="A4" s="22" t="str">
        <x:v>Model</x:v>
      </x:c>
      <x:c r="B4" s="22" t="str">
        <x:v>Main structured valid</x:v>
      </x:c>
      <x:c r="C4" s="22" t="str">
        <x:v>Main usable</x:v>
      </x:c>
      <x:c r="D4" s="22" t="str">
        <x:v>Token-limit hit</x:v>
      </x:c>
      <x:c r="E4" s="22" t="str">
        <x:v>Median inference (s)</x:v>
      </x:c>
      <x:c r="F4" s="22" t="str">
        <x:v>Mean inference (s)</x:v>
      </x:c>
      <x:c r="G4" s="22" t="str">
        <x:v>Invalid main outputs</x:v>
      </x:c>
      <x:c r="H4" s="22" t="str">
        <x:v>Main invalid sample(s)</x:v>
      </x:c>
    </x:row>
    <x:row r="5">
      <x:c r="A5" t="str">
        <x:v>Llama 3.1 8B</x:v>
      </x:c>
      <x:c r="B5" s="44" t="n">
        <x:v>1</x:v>
      </x:c>
      <x:c r="C5" s="44" t="n">
        <x:v>1</x:v>
      </x:c>
      <x:c r="D5" s="44" t="n">
        <x:v>0</x:v>
      </x:c>
      <x:c r="E5" s="46" t="n">
        <x:v>4.420765053999958</x:v>
      </x:c>
      <x:c r="F5" s="46" t="n">
        <x:v>4.909458271085708</x:v>
      </x:c>
      <x:c r="G5" t="n">
        <x:v>0</x:v>
      </x:c>
      <x:c r="H5" t="str">
        <x:v>None</x:v>
      </x:c>
    </x:row>
    <x:row r="6">
      <x:c r="A6" t="str">
        <x:v>Qwen2.5 7B</x:v>
      </x:c>
      <x:c r="B6" s="44" t="n">
        <x:v>0.9714285714285714</x:v>
      </x:c>
      <x:c r="C6" s="44" t="n">
        <x:v>0.9714285714285714</x:v>
      </x:c>
      <x:c r="D6" s="44" t="n">
        <x:v>0</x:v>
      </x:c>
      <x:c r="E6" s="46" t="n">
        <x:v>4.751639589999968</x:v>
      </x:c>
      <x:c r="F6" s="46" t="n">
        <x:v>5.073547088228588</x:v>
      </x:c>
      <x:c r="G6" t="n">
        <x:v>1</x:v>
      </x:c>
      <x:c r="H6" t="str">
        <x:v>B06</x:v>
      </x:c>
    </x:row>
    <x:row r="7">
      <x:c r="A7" t="str">
        <x:v>DeepSeek 7B</x:v>
      </x:c>
      <x:c r="B7" s="44" t="n">
        <x:v>0.9142857142857143</x:v>
      </x:c>
      <x:c r="C7" s="44" t="n">
        <x:v>0.9142857142857143</x:v>
      </x:c>
      <x:c r="D7" s="44" t="n">
        <x:v>0</x:v>
      </x:c>
      <x:c r="E7" s="46" t="n">
        <x:v>7.364236909000283</x:v>
      </x:c>
      <x:c r="F7" s="46" t="n">
        <x:v>7.322023187828589</x:v>
      </x:c>
      <x:c r="G7" t="n">
        <x:v>3</x:v>
      </x:c>
      <x:c r="H7" t="str">
        <x:v>B01, B03, B10</x:v>
      </x:c>
    </x:row>
    <x:row r="8">
      <x:c r="A8" t="str">
        <x:v>Mistral 7B</x:v>
      </x:c>
      <x:c r="B8" s="44" t="n">
        <x:v>0.9714285714285714</x:v>
      </x:c>
      <x:c r="C8" s="44" t="n">
        <x:v>0.9714285714285714</x:v>
      </x:c>
      <x:c r="D8" s="44" t="n">
        <x:v>0</x:v>
      </x:c>
      <x:c r="E8" s="46" t="n">
        <x:v>7.577631692000068</x:v>
      </x:c>
      <x:c r="F8" s="46" t="n">
        <x:v>7.205952954085725</x:v>
      </x:c>
      <x:c r="G8" t="n">
        <x:v>1</x:v>
      </x:c>
      <x:c r="H8" t="str">
        <x:v>B05</x:v>
      </x:c>
    </x:row>
    <x:row r="12">
      <x:c r="A12" s="22" t="str">
        <x:v>Model</x:v>
      </x:c>
      <x:c r="B12" s="22" t="str">
        <x:v>Repeat items</x:v>
      </x:c>
      <x:c r="C12" s="22" t="str">
        <x:v>All-three valid-pair rate</x:v>
      </x:c>
      <x:c r="D12" s="22" t="str">
        <x:v>Agreement given valid</x:v>
      </x:c>
      <x:c r="E12" s="22" t="str">
        <x:v>Strict all-three agreement</x:v>
      </x:c>
      <x:c r="F12" s="22" t="str">
        <x:v>Run 1 usable</x:v>
      </x:c>
      <x:c r="G12" s="22" t="str">
        <x:v>Run 2 usable</x:v>
      </x:c>
      <x:c r="H12" s="22" t="str">
        <x:v>Strict failure sample</x:v>
      </x:c>
    </x:row>
    <x:row r="13">
      <x:c r="A13" t="str">
        <x:v>Llama 3.1 8B</x:v>
      </x:c>
      <x:c r="B13" t="n">
        <x:v>12</x:v>
      </x:c>
      <x:c r="C13" s="44" t="n">
        <x:v>1</x:v>
      </x:c>
      <x:c r="D13" s="44" t="n">
        <x:v>1</x:v>
      </x:c>
      <x:c r="E13" s="44" t="n">
        <x:v>1</x:v>
      </x:c>
      <x:c r="F13" s="44" t="n">
        <x:v>1</x:v>
      </x:c>
      <x:c r="G13" s="44" t="n">
        <x:v>1</x:v>
      </x:c>
      <x:c r="H13" t="str">
        <x:v>None</x:v>
      </x:c>
    </x:row>
    <x:row r="14">
      <x:c r="A14" t="str">
        <x:v>Qwen2.5 7B</x:v>
      </x:c>
      <x:c r="B14" t="n">
        <x:v>12</x:v>
      </x:c>
      <x:c r="C14" s="44" t="n">
        <x:v>0.9166666666666666</x:v>
      </x:c>
      <x:c r="D14" s="44" t="n">
        <x:v>1</x:v>
      </x:c>
      <x:c r="E14" s="44" t="n">
        <x:v>0.9166666666666666</x:v>
      </x:c>
      <x:c r="F14" s="44" t="n">
        <x:v>0.9166666666666666</x:v>
      </x:c>
      <x:c r="G14" s="44" t="n">
        <x:v>0.9166666666666666</x:v>
      </x:c>
      <x:c r="H14" t="str">
        <x:v>B06</x:v>
      </x:c>
    </x:row>
    <x:row r="15">
      <x:c r="A15" t="str">
        <x:v>DeepSeek 7B</x:v>
      </x:c>
      <x:c r="B15" t="n">
        <x:v>12</x:v>
      </x:c>
      <x:c r="C15" s="44" t="n">
        <x:v>0.9166666666666666</x:v>
      </x:c>
      <x:c r="D15" s="44" t="n">
        <x:v>1</x:v>
      </x:c>
      <x:c r="E15" s="44" t="n">
        <x:v>0.9166666666666666</x:v>
      </x:c>
      <x:c r="F15" s="44" t="n">
        <x:v>0.9166666666666666</x:v>
      </x:c>
      <x:c r="G15" s="44" t="n">
        <x:v>0.9166666666666666</x:v>
      </x:c>
      <x:c r="H15" t="str">
        <x:v>B10</x:v>
      </x:c>
    </x:row>
    <x:row r="16">
      <x:c r="A16" t="str">
        <x:v>Mistral 7B</x:v>
      </x:c>
      <x:c r="B16" t="n">
        <x:v>12</x:v>
      </x:c>
      <x:c r="C16" s="44" t="n">
        <x:v>0.9166666666666666</x:v>
      </x:c>
      <x:c r="D16" s="44" t="n">
        <x:v>1</x:v>
      </x:c>
      <x:c r="E16" s="44" t="n">
        <x:v>0.9166666666666666</x:v>
      </x:c>
      <x:c r="F16" s="44" t="n">
        <x:v>0.9166666666666666</x:v>
      </x:c>
      <x:c r="G16" s="44" t="n">
        <x:v>0.9166666666666666</x:v>
      </x:c>
      <x:c r="H16" t="str">
        <x:v>B05</x:v>
      </x:c>
    </x:row>
    <x:row r="19">
      <x:c r="A19" s="60" t="str">
        <x:v>All four models were deterministic on valid paired outputs: agreement given valid pairs was 100%. Llama had 12/12 fully valid repeatability pairs. Qwen, DeepSeek, and Mistral each had one repeated invalid-ranking case, giving 11/12 (91.7%) strict repeatability. Because temperature=0 and greedy decoding were used, this is best described as deterministic test–retest stability, not stochastic sampling robustness.</x:v>
      </x:c>
      <x:c r="B19" s="60"/>
      <x:c r="C19" s="60"/>
      <x:c r="D19" s="60"/>
      <x:c r="E19" s="60"/>
      <x:c r="F19" s="60"/>
      <x:c r="G19" s="60"/>
      <x:c r="H19" s="60"/>
      <x:c r="I19" s="60"/>
      <x:c r="J19" s="60"/>
      <x:c r="K19" s="60"/>
      <x:c r="L19" s="60"/>
      <x:c r="M19" s="60"/>
    </x:row>
    <x:row r="20">
      <x:c r="A20" s="60"/>
      <x:c r="B20" s="60"/>
      <x:c r="C20" s="60"/>
      <x:c r="D20" s="60"/>
      <x:c r="E20" s="60"/>
      <x:c r="F20" s="60"/>
      <x:c r="G20" s="60"/>
      <x:c r="H20" s="60"/>
      <x:c r="I20" s="60"/>
      <x:c r="J20" s="60"/>
      <x:c r="K20" s="60"/>
      <x:c r="L20" s="60"/>
      <x:c r="M20" s="60"/>
    </x:row>
    <x:row r="21">
      <x:c r="A21" s="60"/>
      <x:c r="B21" s="60"/>
      <x:c r="C21" s="60"/>
      <x:c r="D21" s="60"/>
      <x:c r="E21" s="60"/>
      <x:c r="F21" s="60"/>
      <x:c r="G21" s="60"/>
      <x:c r="H21" s="60"/>
      <x:c r="I21" s="60"/>
      <x:c r="J21" s="60"/>
      <x:c r="K21" s="60"/>
      <x:c r="L21" s="60"/>
      <x:c r="M21" s="60"/>
    </x:row>
    <x:row r="22">
      <x:c r="A22" s="60"/>
      <x:c r="B22" s="60"/>
      <x:c r="C22" s="60"/>
      <x:c r="D22" s="60"/>
      <x:c r="E22" s="60"/>
      <x:c r="F22" s="60"/>
      <x:c r="G22" s="60"/>
      <x:c r="H22" s="60"/>
      <x:c r="I22" s="60"/>
      <x:c r="J22" s="60"/>
      <x:c r="K22" s="60"/>
      <x:c r="L22" s="60"/>
      <x:c r="M22" s="60"/>
    </x:row>
  </x:sheetData>
  <x:mergeCells>
    <x:mergeCell ref="A1:M1"/>
    <x:mergeCell ref="A2:M2"/>
    <x:mergeCell ref="A19:M22"/>
  </x:mergeCells>
  <x:pageMargins left="0.7" right="0.7" top="0.75" bottom="0.75" header="0.3" footer="0.3"/>
</x:worksheet>
</file>

<file path=xl/worksheets/sheet9.xml><?xml version="1.0" encoding="utf-8"?>
<x:worksheet xmlns:x="http://schemas.openxmlformats.org/spreadsheetml/2006/main">
  <x:sheetFormatPr defaultRowHeight="15"/>
  <x:sheetData>
    <x:row r="1" ht="26" customHeight="1">
      <x:c r="A1" s="4" t="str">
        <x:v>Paired Statistical Comparisons</x:v>
      </x:c>
      <x:c r="B1" s="4"/>
      <x:c r="C1" s="4"/>
      <x:c r="D1" s="4"/>
      <x:c r="E1" s="4"/>
      <x:c r="F1" s="4"/>
      <x:c r="G1" s="4"/>
      <x:c r="H1" s="4"/>
      <x:c r="I1" s="4"/>
      <x:c r="J1" s="4"/>
    </x:row>
    <x:row r="2" ht="32" customHeight="1">
      <x:c r="A2" s="10" t="str">
        <x:v>Binary outcomes are paired because every model evaluated the same materials. Pairwise exact McNemar p-values are Holm-adjusted within each six-comparison family.</x:v>
      </x:c>
      <x:c r="B2" s="10"/>
      <x:c r="C2" s="10"/>
      <x:c r="D2" s="10"/>
      <x:c r="E2" s="10"/>
      <x:c r="F2" s="10"/>
      <x:c r="G2" s="10"/>
      <x:c r="H2" s="10"/>
      <x:c r="I2" s="10"/>
      <x:c r="J2" s="10"/>
    </x:row>
    <x:row r="4">
      <x:c r="A4" s="22" t="str">
        <x:v>Outcome</x:v>
      </x:c>
      <x:c r="B4" s="22" t="str">
        <x:v>Test</x:v>
      </x:c>
      <x:c r="C4" s="22" t="str">
        <x:v>Comparison</x:v>
      </x:c>
      <x:c r="D4" s="22" t="str">
        <x:v>N</x:v>
      </x:c>
      <x:c r="E4" s="22" t="str">
        <x:v>Statistic</x:v>
      </x:c>
      <x:c r="F4" s="22" t="str">
        <x:v>df</x:v>
      </x:c>
      <x:c r="G4" s="22" t="str">
        <x:v>p-value</x:v>
      </x:c>
      <x:c r="H4" s="22" t="str">
        <x:v>Interpretation</x:v>
      </x:c>
    </x:row>
    <x:row r="5">
      <x:c r="A5" t="str">
        <x:v>Exact process selection</x:v>
      </x:c>
      <x:c r="B5" t="str">
        <x:v>Cochran Q</x:v>
      </x:c>
      <x:c r="C5" t="str">
        <x:v>All four models</x:v>
      </x:c>
      <x:c r="D5" t="n">
        <x:v>28</x:v>
      </x:c>
      <x:c r="E5" t="n">
        <x:v>25.58823529411765</x:v>
      </x:c>
      <x:c r="F5" t="n">
        <x:v>3</x:v>
      </x:c>
      <x:c r="G5" s="64" t="n">
        <x:v>0.00001163105756259275</x:v>
      </x:c>
      <x:c r="H5" t="str">
        <x:v>Significant overall difference across models.</x:v>
      </x:c>
    </x:row>
    <x:row r="6">
      <x:c r="A6" t="str">
        <x:v>Full-reference accuracy</x:v>
      </x:c>
      <x:c r="B6" t="str">
        <x:v>Cochran Q</x:v>
      </x:c>
      <x:c r="C6" t="str">
        <x:v>All four models</x:v>
      </x:c>
      <x:c r="D6" t="n">
        <x:v>35</x:v>
      </x:c>
      <x:c r="E6" t="n">
        <x:v>24.647058823529413</x:v>
      </x:c>
      <x:c r="F6" t="n">
        <x:v>3</x:v>
      </x:c>
      <x:c r="G6" s="64" t="n">
        <x:v>0.000018299407241926964</x:v>
      </x:c>
      <x:c r="H6" t="str">
        <x:v>Significant overall difference across models.</x:v>
      </x:c>
    </x:row>
    <x:row r="9">
      <x:c r="A9" s="22" t="str">
        <x:v>Outcome</x:v>
      </x:c>
      <x:c r="B9" s="22" t="str">
        <x:v>Model A</x:v>
      </x:c>
      <x:c r="C9" s="22" t="str">
        <x:v>Model B</x:v>
      </x:c>
      <x:c r="D9" s="22" t="str">
        <x:v>N</x:v>
      </x:c>
      <x:c r="E9" s="22" t="str">
        <x:v>A correct/B wrong</x:v>
      </x:c>
      <x:c r="F9" s="22" t="str">
        <x:v>A wrong/B correct</x:v>
      </x:c>
      <x:c r="G9" s="22" t="str">
        <x:v>Exact p</x:v>
      </x:c>
      <x:c r="H9" s="22" t="str">
        <x:v>Holm-adjusted p</x:v>
      </x:c>
    </x:row>
    <x:row r="10">
      <x:c r="A10" t="str">
        <x:v>Exact process selection</x:v>
      </x:c>
      <x:c r="B10" t="str">
        <x:v>Llama 3.1 8B</x:v>
      </x:c>
      <x:c r="C10" t="str">
        <x:v>Qwen2.5 7B</x:v>
      </x:c>
      <x:c r="D10" t="n">
        <x:v>28</x:v>
      </x:c>
      <x:c r="E10" t="n">
        <x:v>0</x:v>
      </x:c>
      <x:c r="F10" t="n">
        <x:v>6</x:v>
      </x:c>
      <x:c r="G10" s="56" t="n">
        <x:v>0.03125</x:v>
      </x:c>
      <x:c r="H10" s="56" t="n">
        <x:v>0.09375</x:v>
      </x:c>
    </x:row>
    <x:row r="11">
      <x:c r="A11" t="str">
        <x:v>Exact process selection</x:v>
      </x:c>
      <x:c r="B11" t="str">
        <x:v>Llama 3.1 8B</x:v>
      </x:c>
      <x:c r="C11" t="str">
        <x:v>DeepSeek 7B</x:v>
      </x:c>
      <x:c r="D11" t="n">
        <x:v>28</x:v>
      </x:c>
      <x:c r="E11" t="n">
        <x:v>9</x:v>
      </x:c>
      <x:c r="F11" t="n">
        <x:v>1</x:v>
      </x:c>
      <x:c r="G11" s="56" t="n">
        <x:v>0.021484375</x:v>
      </x:c>
      <x:c r="H11" s="56" t="n">
        <x:v>0.0859375</x:v>
      </x:c>
    </x:row>
    <x:row r="12">
      <x:c r="A12" t="str">
        <x:v>Exact process selection</x:v>
      </x:c>
      <x:c r="B12" t="str">
        <x:v>Llama 3.1 8B</x:v>
      </x:c>
      <x:c r="C12" t="str">
        <x:v>Mistral 7B</x:v>
      </x:c>
      <x:c r="D12" t="n">
        <x:v>28</x:v>
      </x:c>
      <x:c r="E12" t="n">
        <x:v>2</x:v>
      </x:c>
      <x:c r="F12" t="n">
        <x:v>5</x:v>
      </x:c>
      <x:c r="G12" s="56" t="n">
        <x:v>0.453125</x:v>
      </x:c>
      <x:c r="H12" s="56" t="n">
        <x:v>0.5</x:v>
      </x:c>
    </x:row>
    <x:row r="13">
      <x:c r="A13" t="str">
        <x:v>Exact process selection</x:v>
      </x:c>
      <x:c r="B13" t="str">
        <x:v>Qwen2.5 7B</x:v>
      </x:c>
      <x:c r="C13" t="str">
        <x:v>DeepSeek 7B</x:v>
      </x:c>
      <x:c r="D13" t="n">
        <x:v>28</x:v>
      </x:c>
      <x:c r="E13" t="n">
        <x:v>14</x:v>
      </x:c>
      <x:c r="F13" t="n">
        <x:v>0</x:v>
      </x:c>
      <x:c r="G13" s="56" t="n">
        <x:v>0.0001220703125</x:v>
      </x:c>
      <x:c r="H13" s="56" t="n">
        <x:v>0.000732421875</x:v>
      </x:c>
    </x:row>
    <x:row r="14">
      <x:c r="A14" t="str">
        <x:v>Exact process selection</x:v>
      </x:c>
      <x:c r="B14" t="str">
        <x:v>Qwen2.5 7B</x:v>
      </x:c>
      <x:c r="C14" t="str">
        <x:v>Mistral 7B</x:v>
      </x:c>
      <x:c r="D14" t="n">
        <x:v>28</x:v>
      </x:c>
      <x:c r="E14" t="n">
        <x:v>3</x:v>
      </x:c>
      <x:c r="F14" t="n">
        <x:v>0</x:v>
      </x:c>
      <x:c r="G14" s="56" t="n">
        <x:v>0.25</x:v>
      </x:c>
      <x:c r="H14" s="56" t="n">
        <x:v>0.5</x:v>
      </x:c>
    </x:row>
    <x:row r="15">
      <x:c r="A15" t="str">
        <x:v>Exact process selection</x:v>
      </x:c>
      <x:c r="B15" t="str">
        <x:v>DeepSeek 7B</x:v>
      </x:c>
      <x:c r="C15" t="str">
        <x:v>Mistral 7B</x:v>
      </x:c>
      <x:c r="D15" t="n">
        <x:v>28</x:v>
      </x:c>
      <x:c r="E15" t="n">
        <x:v>0</x:v>
      </x:c>
      <x:c r="F15" t="n">
        <x:v>11</x:v>
      </x:c>
      <x:c r="G15" s="56" t="n">
        <x:v>0.0009765625</x:v>
      </x:c>
      <x:c r="H15" s="56" t="n">
        <x:v>0.0048828125</x:v>
      </x:c>
    </x:row>
    <x:row r="16">
      <x:c r="A16" t="str">
        <x:v>Full-reference accuracy</x:v>
      </x:c>
      <x:c r="B16" t="str">
        <x:v>Llama 3.1 8B</x:v>
      </x:c>
      <x:c r="C16" t="str">
        <x:v>Qwen2.5 7B</x:v>
      </x:c>
      <x:c r="D16" t="n">
        <x:v>35</x:v>
      </x:c>
      <x:c r="E16" t="n">
        <x:v>2</x:v>
      </x:c>
      <x:c r="F16" t="n">
        <x:v>13</x:v>
      </x:c>
      <x:c r="G16" s="56" t="n">
        <x:v>0.00738525390625</x:v>
      </x:c>
      <x:c r="H16" s="56" t="n">
        <x:v>0.029541015625</x:v>
      </x:c>
    </x:row>
    <x:row r="17">
      <x:c r="A17" t="str">
        <x:v>Full-reference accuracy</x:v>
      </x:c>
      <x:c r="B17" t="str">
        <x:v>Llama 3.1 8B</x:v>
      </x:c>
      <x:c r="C17" t="str">
        <x:v>DeepSeek 7B</x:v>
      </x:c>
      <x:c r="D17" t="n">
        <x:v>35</x:v>
      </x:c>
      <x:c r="E17" t="n">
        <x:v>3</x:v>
      </x:c>
      <x:c r="F17" t="n">
        <x:v>1</x:v>
      </x:c>
      <x:c r="G17" s="56" t="n">
        <x:v>0.625</x:v>
      </x:c>
      <x:c r="H17" s="56" t="n">
        <x:v>1</x:v>
      </x:c>
    </x:row>
    <x:row r="18">
      <x:c r="A18" t="str">
        <x:v>Full-reference accuracy</x:v>
      </x:c>
      <x:c r="B18" t="str">
        <x:v>Llama 3.1 8B</x:v>
      </x:c>
      <x:c r="C18" t="str">
        <x:v>Mistral 7B</x:v>
      </x:c>
      <x:c r="D18" t="n">
        <x:v>35</x:v>
      </x:c>
      <x:c r="E18" t="n">
        <x:v>3</x:v>
      </x:c>
      <x:c r="F18" t="n">
        <x:v>3</x:v>
      </x:c>
      <x:c r="G18" s="56" t="n">
        <x:v>1</x:v>
      </x:c>
      <x:c r="H18" s="56" t="n">
        <x:v>1</x:v>
      </x:c>
    </x:row>
    <x:row r="19">
      <x:c r="A19" t="str">
        <x:v>Full-reference accuracy</x:v>
      </x:c>
      <x:c r="B19" t="str">
        <x:v>Qwen2.5 7B</x:v>
      </x:c>
      <x:c r="C19" t="str">
        <x:v>DeepSeek 7B</x:v>
      </x:c>
      <x:c r="D19" t="n">
        <x:v>35</x:v>
      </x:c>
      <x:c r="E19" t="n">
        <x:v>13</x:v>
      </x:c>
      <x:c r="F19" t="n">
        <x:v>0</x:v>
      </x:c>
      <x:c r="G19" s="56" t="n">
        <x:v>0.000244140625</x:v>
      </x:c>
      <x:c r="H19" s="56" t="n">
        <x:v>0.00146484375</x:v>
      </x:c>
    </x:row>
    <x:row r="20">
      <x:c r="A20" t="str">
        <x:v>Full-reference accuracy</x:v>
      </x:c>
      <x:c r="B20" t="str">
        <x:v>Qwen2.5 7B</x:v>
      </x:c>
      <x:c r="C20" t="str">
        <x:v>Mistral 7B</x:v>
      </x:c>
      <x:c r="D20" t="n">
        <x:v>35</x:v>
      </x:c>
      <x:c r="E20" t="n">
        <x:v>11</x:v>
      </x:c>
      <x:c r="F20" t="n">
        <x:v>0</x:v>
      </x:c>
      <x:c r="G20" s="56" t="n">
        <x:v>0.0009765625</x:v>
      </x:c>
      <x:c r="H20" s="56" t="n">
        <x:v>0.0048828125</x:v>
      </x:c>
    </x:row>
    <x:row r="21">
      <x:c r="A21" t="str">
        <x:v>Full-reference accuracy</x:v>
      </x:c>
      <x:c r="B21" t="str">
        <x:v>DeepSeek 7B</x:v>
      </x:c>
      <x:c r="C21" t="str">
        <x:v>Mistral 7B</x:v>
      </x:c>
      <x:c r="D21" t="n">
        <x:v>35</x:v>
      </x:c>
      <x:c r="E21" t="n">
        <x:v>0</x:v>
      </x:c>
      <x:c r="F21" t="n">
        <x:v>2</x:v>
      </x:c>
      <x:c r="G21" s="56" t="n">
        <x:v>0.5</x:v>
      </x:c>
      <x:c r="H21" s="56" t="n">
        <x:v>1</x:v>
      </x:c>
    </x:row>
    <x:row r="23">
      <x:c r="A23" s="60" t="str">
        <x:v>Key interpretation: Qwen's full-reference accuracy was significantly higher than Llama (Holm p=0.0295), DeepSeek (p=0.0015), and Mistral (p=0.0049). For exact process selection alone, the four-model difference was significant overall, but Qwen vs Llama and Qwen vs Mistral were not significant after Holm correction. Accordingly, model selection should be justified by the full pattern of evidence rather than by a single process-selection percentage.</x:v>
      </x:c>
      <x:c r="B23" s="60"/>
      <x:c r="C23" s="60"/>
      <x:c r="D23" s="60"/>
      <x:c r="E23" s="60"/>
      <x:c r="F23" s="60"/>
      <x:c r="G23" s="60"/>
      <x:c r="H23" s="60"/>
      <x:c r="I23" s="60"/>
      <x:c r="J23" s="60"/>
    </x:row>
    <x:row r="24">
      <x:c r="A24" s="60"/>
      <x:c r="B24" s="60"/>
      <x:c r="C24" s="60"/>
      <x:c r="D24" s="60"/>
      <x:c r="E24" s="60"/>
      <x:c r="F24" s="60"/>
      <x:c r="G24" s="60"/>
      <x:c r="H24" s="60"/>
      <x:c r="I24" s="60"/>
      <x:c r="J24" s="60"/>
    </x:row>
    <x:row r="25">
      <x:c r="A25" s="60"/>
      <x:c r="B25" s="60"/>
      <x:c r="C25" s="60"/>
      <x:c r="D25" s="60"/>
      <x:c r="E25" s="60"/>
      <x:c r="F25" s="60"/>
      <x:c r="G25" s="60"/>
      <x:c r="H25" s="60"/>
      <x:c r="I25" s="60"/>
      <x:c r="J25" s="60"/>
    </x:row>
    <x:row r="26">
      <x:c r="A26" s="60"/>
      <x:c r="B26" s="60"/>
      <x:c r="C26" s="60"/>
      <x:c r="D26" s="60"/>
      <x:c r="E26" s="60"/>
      <x:c r="F26" s="60"/>
      <x:c r="G26" s="60"/>
      <x:c r="H26" s="60"/>
      <x:c r="I26" s="60"/>
      <x:c r="J26" s="60"/>
    </x:row>
    <x:row r="27">
      <x:c r="A27" s="60"/>
      <x:c r="B27" s="60"/>
      <x:c r="C27" s="60"/>
      <x:c r="D27" s="60"/>
      <x:c r="E27" s="60"/>
      <x:c r="F27" s="60"/>
      <x:c r="G27" s="60"/>
      <x:c r="H27" s="60"/>
      <x:c r="I27" s="60"/>
      <x:c r="J27" s="60"/>
    </x:row>
  </x:sheetData>
  <x:mergeCells>
    <x:mergeCell ref="A1:J1"/>
    <x:mergeCell ref="A2:J2"/>
    <x:mergeCell ref="A23:J27"/>
  </x:mergeCells>
  <x:pageMargins left="0.7" right="0.7" top="0.75" bottom="0.75" header="0.3" footer="0.3"/>
</x:worksheet>
</file>

<file path=xl/worksheets/sheet10.xml><?xml version="1.0" encoding="utf-8"?>
<x:worksheet xmlns:x="http://schemas.openxmlformats.org/spreadsheetml/2006/main">
  <x:sheetFormatPr defaultRowHeight="15"/>
  <x:cols>
    <x:col min="1" max="1" width="13" hidden="0" customWidth="1"/>
    <x:col min="2" max="2" width="28" hidden="0" customWidth="1"/>
    <x:col min="3" max="3" width="28" hidden="0" customWidth="1"/>
    <x:col min="4" max="4" width="13" hidden="0" customWidth="1"/>
    <x:col min="5" max="5" width="24" hidden="0" customWidth="1"/>
    <x:col min="6" max="6" width="24"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3" hidden="0" customWidth="1"/>
    <x:col min="28" max="28" width="13" hidden="0" customWidth="1"/>
    <x:col min="29" max="29" width="13" hidden="0" customWidth="1"/>
    <x:col min="30" max="30" width="13" hidden="0" customWidth="1"/>
    <x:col min="31" max="31" width="13" hidden="0" customWidth="1"/>
    <x:col min="32" max="32" width="13" hidden="0" customWidth="1"/>
  </x:cols>
  <x:sheetData>
    <x:row r="1" ht="26" customHeight="1">
      <x:c r="A1" s="4" t="str">
        <x:v>Per-Material Comparison</x:v>
      </x:c>
      <x:c r="B1" s="4"/>
      <x:c r="C1" s="4"/>
      <x:c r="D1" s="4"/>
      <x:c r="E1" s="4"/>
      <x:c r="F1" s="4"/>
      <x:c r="G1" s="4"/>
      <x:c r="H1" s="4"/>
      <x:c r="I1" s="4"/>
      <x:c r="J1" s="4"/>
      <x:c r="K1" s="4"/>
      <x:c r="L1" s="4"/>
      <x:c r="M1" s="4"/>
      <x:c r="N1" s="4"/>
      <x:c r="O1" s="4"/>
      <x:c r="P1" s="4"/>
      <x:c r="Q1" s="4"/>
      <x:c r="R1" s="4"/>
      <x:c r="S1" s="4"/>
      <x:c r="T1" s="4"/>
      <x:c r="U1" s="4"/>
      <x:c r="V1" s="4"/>
      <x:c r="W1" s="4"/>
      <x:c r="X1" s="4"/>
      <x:c r="Y1" s="4"/>
      <x:c r="Z1" s="4"/>
      <x:c r="AA1" s="4"/>
      <x:c r="AB1" s="4"/>
    </x:row>
    <x:row r="2" ht="32" customHeight="1">
      <x:c r="A2" s="10" t="str">
        <x:v>One row per reference material. Use this sheet for qualitative error analysis and supplementary reporting.</x:v>
      </x:c>
      <x:c r="B2" s="10"/>
      <x:c r="C2" s="10"/>
      <x:c r="D2" s="10"/>
      <x:c r="E2" s="10"/>
      <x:c r="F2" s="10"/>
      <x:c r="G2" s="10"/>
      <x:c r="H2" s="10"/>
      <x:c r="I2" s="10"/>
      <x:c r="J2" s="10"/>
      <x:c r="K2" s="10"/>
      <x:c r="L2" s="10"/>
      <x:c r="M2" s="10"/>
      <x:c r="N2" s="10"/>
      <x:c r="O2" s="10"/>
      <x:c r="P2" s="10"/>
      <x:c r="Q2" s="10"/>
      <x:c r="R2" s="10"/>
      <x:c r="S2" s="10"/>
      <x:c r="T2" s="10"/>
      <x:c r="U2" s="10"/>
      <x:c r="V2" s="10"/>
      <x:c r="W2" s="10"/>
      <x:c r="X2" s="10"/>
      <x:c r="Y2" s="10"/>
      <x:c r="Z2" s="10"/>
      <x:c r="AA2" s="10"/>
      <x:c r="AB2" s="10"/>
    </x:row>
    <x:row r="4">
      <x:c r="A4" s="22" t="str">
        <x:v>Sample</x:v>
      </x:c>
      <x:c r="B4" s="22" t="str">
        <x:v>Case study</x:v>
      </x:c>
      <x:c r="C4" s="22" t="str">
        <x:v>Material</x:v>
      </x:c>
      <x:c r="D4" s="22" t="str">
        <x:v>GT class</x:v>
      </x:c>
      <x:c r="E4" s="22" t="str">
        <x:v>GT normalized</x:v>
      </x:c>
      <x:c r="F4" s="22" t="str">
        <x:v>GT UUID</x:v>
      </x:c>
      <x:c r="G4" s="22" t="str">
        <x:v>Top-5 has GT?</x:v>
      </x:c>
      <x:c r="H4" s="22" t="str">
        <x:v>TF-IDF Top-1 correct?</x:v>
      </x:c>
      <x:c r="I4" s="22" t="str">
        <x:v>llama_normalized</x:v>
      </x:c>
      <x:c r="J4" s="22" t="str">
        <x:v>llama_match</x:v>
      </x:c>
      <x:c r="K4" s="22" t="str">
        <x:v>llama_process_correct</x:v>
      </x:c>
      <x:c r="L4" s="22" t="str">
        <x:v>llama_match_correct</x:v>
      </x:c>
      <x:c r="M4" s="22" t="str">
        <x:v>llama_full_reference</x:v>
      </x:c>
      <x:c r="N4" s="22" t="str">
        <x:v>llama_valid</x:v>
      </x:c>
      <x:c r="O4" s="22" t="str">
        <x:v>qwen_normalized</x:v>
      </x:c>
      <x:c r="P4" s="22" t="str">
        <x:v>qwen_match</x:v>
      </x:c>
      <x:c r="Q4" s="22" t="str">
        <x:v>qwen_process_correct</x:v>
      </x:c>
      <x:c r="R4" s="22" t="str">
        <x:v>qwen_match_correct</x:v>
      </x:c>
      <x:c r="S4" s="22" t="str">
        <x:v>qwen_full_reference</x:v>
      </x:c>
      <x:c r="T4" s="22" t="str">
        <x:v>qwen_valid</x:v>
      </x:c>
      <x:c r="U4" s="22" t="str">
        <x:v>deepseek_normalized</x:v>
      </x:c>
      <x:c r="V4" s="22" t="str">
        <x:v>deepseek_match</x:v>
      </x:c>
      <x:c r="W4" s="22" t="str">
        <x:v>deepseek_process_correct</x:v>
      </x:c>
      <x:c r="X4" s="22" t="str">
        <x:v>deepseek_match_correct</x:v>
      </x:c>
      <x:c r="Y4" s="22" t="str">
        <x:v>deepseek_full_reference</x:v>
      </x:c>
      <x:c r="Z4" s="22" t="str">
        <x:v>deepseek_valid</x:v>
      </x:c>
      <x:c r="AA4" s="22" t="str">
        <x:v>mistral_normalized</x:v>
      </x:c>
      <x:c r="AB4" s="22" t="str">
        <x:v>mistral_match</x:v>
      </x:c>
      <x:c r="AC4" s="22" t="str">
        <x:v>mistral_process_correct</x:v>
      </x:c>
      <x:c r="AD4" s="22" t="str">
        <x:v>mistral_match_correct</x:v>
      </x:c>
      <x:c r="AE4" s="22" t="str">
        <x:v>mistral_full_reference</x:v>
      </x:c>
      <x:c r="AF4" s="22" t="str">
        <x:v>mistral_valid</x:v>
      </x:c>
    </x:row>
    <x:row r="5">
      <x:c r="A5" t="str">
        <x:v>A01</x:v>
      </x:c>
      <x:c r="B5" t="str">
        <x:v>Bamboo House with Attic</x:v>
      </x:c>
      <x:c r="C5" t="str">
        <x:v>Cement</x:v>
      </x:c>
      <x:c r="D5" t="str">
        <x:v>direct</x:v>
      </x:c>
      <x:c r="E5" t="str">
        <x:v>Cement</x:v>
      </x:c>
      <x:c r="F5" t="str">
        <x:v>600573dd-dfa5-44e5-b458-8727e793ffd7</x:v>
      </x:c>
      <x:c r="G5" t="n">
        <x:v>1</x:v>
      </x:c>
      <x:c r="H5" t="n">
        <x:v>1</x:v>
      </x:c>
      <x:c r="I5" t="str">
        <x:v>Portland cement</x:v>
      </x:c>
      <x:c r="J5" t="str">
        <x:v>direct</x:v>
      </x:c>
      <x:c r="K5" t="n">
        <x:v>1</x:v>
      </x:c>
      <x:c r="L5" s="42" t="b">
        <x:v>1</x:v>
      </x:c>
      <x:c r="M5" s="42" t="b">
        <x:v>0</x:v>
      </x:c>
      <x:c r="N5" s="42" t="b">
        <x:v>1</x:v>
      </x:c>
      <x:c r="O5" t="str">
        <x:v>Cement</x:v>
      </x:c>
      <x:c r="P5" t="str">
        <x:v>direct</x:v>
      </x:c>
      <x:c r="Q5" t="n">
        <x:v>1</x:v>
      </x:c>
      <x:c r="R5" s="42" t="b">
        <x:v>1</x:v>
      </x:c>
      <x:c r="S5" s="42" t="b">
        <x:v>1</x:v>
      </x:c>
      <x:c r="T5" s="42" t="b">
        <x:v>1</x:v>
      </x:c>
      <x:c r="U5" t="str">
        <x:v>Cement</x:v>
      </x:c>
      <x:c r="V5" t="str">
        <x:v>direct</x:v>
      </x:c>
      <x:c r="W5" t="n">
        <x:v>1</x:v>
      </x:c>
      <x:c r="X5" s="42" t="b">
        <x:v>1</x:v>
      </x:c>
      <x:c r="Y5" s="42" t="b">
        <x:v>1</x:v>
      </x:c>
      <x:c r="Z5" s="42" t="b">
        <x:v>1</x:v>
      </x:c>
      <x:c r="AA5" t="str">
        <x:v>Cement</x:v>
      </x:c>
      <x:c r="AB5" t="str">
        <x:v>direct</x:v>
      </x:c>
      <x:c r="AC5" t="n">
        <x:v>1</x:v>
      </x:c>
      <x:c r="AD5" s="42" t="b">
        <x:v>1</x:v>
      </x:c>
      <x:c r="AE5" s="42" t="b">
        <x:v>1</x:v>
      </x:c>
      <x:c r="AF5" s="42" t="b">
        <x:v>1</x:v>
      </x:c>
    </x:row>
    <x:row r="6">
      <x:c r="A6" t="str">
        <x:v>A02</x:v>
      </x:c>
      <x:c r="B6" t="str">
        <x:v>Bamboo House with Attic</x:v>
      </x:c>
      <x:c r="C6" t="str">
        <x:v>Sand</x:v>
      </x:c>
      <x:c r="D6" t="str">
        <x:v>direct</x:v>
      </x:c>
      <x:c r="E6" t="str">
        <x:v>Sand</x:v>
      </x:c>
      <x:c r="F6" t="str">
        <x:v>898618b1-3306-11dd-bd11-0800200c9a66</x:v>
      </x:c>
      <x:c r="G6" t="n">
        <x:v>1</x:v>
      </x:c>
      <x:c r="H6" t="n">
        <x:v>1</x:v>
      </x:c>
      <x:c r="I6" t="str">
        <x:v>silica sand</x:v>
      </x:c>
      <x:c r="J6" t="str">
        <x:v>direct</x:v>
      </x:c>
      <x:c r="K6" t="n">
        <x:v>0</x:v>
      </x:c>
      <x:c r="L6" s="42" t="b">
        <x:v>1</x:v>
      </x:c>
      <x:c r="M6" s="42" t="b">
        <x:v>0</x:v>
      </x:c>
      <x:c r="N6" s="42" t="b">
        <x:v>1</x:v>
      </x:c>
      <x:c r="O6" t="str">
        <x:v>Sand</x:v>
      </x:c>
      <x:c r="P6" t="str">
        <x:v>direct</x:v>
      </x:c>
      <x:c r="Q6" t="n">
        <x:v>1</x:v>
      </x:c>
      <x:c r="R6" s="42" t="b">
        <x:v>1</x:v>
      </x:c>
      <x:c r="S6" s="42" t="b">
        <x:v>1</x:v>
      </x:c>
      <x:c r="T6" s="42" t="b">
        <x:v>1</x:v>
      </x:c>
      <x:c r="U6" t="str">
        <x:v>Sand</x:v>
      </x:c>
      <x:c r="V6" t="str">
        <x:v>direct</x:v>
      </x:c>
      <x:c r="W6" t="n">
        <x:v>0</x:v>
      </x:c>
      <x:c r="X6" s="42" t="b">
        <x:v>1</x:v>
      </x:c>
      <x:c r="Y6" s="42" t="b">
        <x:v>0</x:v>
      </x:c>
      <x:c r="Z6" s="42" t="b">
        <x:v>1</x:v>
      </x:c>
      <x:c r="AA6" t="str">
        <x:v>Silica Sand</x:v>
      </x:c>
      <x:c r="AB6" t="str">
        <x:v>proxy</x:v>
      </x:c>
      <x:c r="AC6" t="n">
        <x:v>0</x:v>
      </x:c>
      <x:c r="AD6" s="42" t="b">
        <x:v>0</x:v>
      </x:c>
      <x:c r="AE6" s="42" t="b">
        <x:v>0</x:v>
      </x:c>
      <x:c r="AF6" s="42" t="b">
        <x:v>1</x:v>
      </x:c>
    </x:row>
    <x:row r="7">
      <x:c r="A7" t="str">
        <x:v>A03</x:v>
      </x:c>
      <x:c r="B7" t="str">
        <x:v>Bamboo House with Attic</x:v>
      </x:c>
      <x:c r="C7" t="str">
        <x:v>Natural Gravel</x:v>
      </x:c>
      <x:c r="D7" t="str">
        <x:v>direct</x:v>
      </x:c>
      <x:c r="E7" t="str">
        <x:v>Gravel</x:v>
      </x:c>
      <x:c r="F7" t="str">
        <x:v>898618b2-3306-11dd-bd11-0800200c9a66</x:v>
      </x:c>
      <x:c r="G7" t="n">
        <x:v>1</x:v>
      </x:c>
      <x:c r="H7" t="n">
        <x:v>0</x:v>
      </x:c>
      <x:c r="I7" t="str">
        <x:v>Gravel</x:v>
      </x:c>
      <x:c r="J7" t="str">
        <x:v>direct</x:v>
      </x:c>
      <x:c r="K7" t="n">
        <x:v>1</x:v>
      </x:c>
      <x:c r="L7" s="42" t="b">
        <x:v>1</x:v>
      </x:c>
      <x:c r="M7" s="42" t="b">
        <x:v>1</x:v>
      </x:c>
      <x:c r="N7" s="42" t="b">
        <x:v>1</x:v>
      </x:c>
      <x:c r="O7" t="str">
        <x:v>Natural Gravel</x:v>
      </x:c>
      <x:c r="P7" t="str">
        <x:v>direct</x:v>
      </x:c>
      <x:c r="Q7" t="n">
        <x:v>1</x:v>
      </x:c>
      <x:c r="R7" s="42" t="b">
        <x:v>1</x:v>
      </x:c>
      <x:c r="S7" s="42" t="b">
        <x:v>0</x:v>
      </x:c>
      <x:c r="T7" s="42" t="b">
        <x:v>1</x:v>
      </x:c>
      <x:c r="U7" t="str">
        <x:v>Natural Gravel</x:v>
      </x:c>
      <x:c r="V7" t="str">
        <x:v>direct</x:v>
      </x:c>
      <x:c r="W7" t="n">
        <x:v>0</x:v>
      </x:c>
      <x:c r="X7" s="42" t="b">
        <x:v>1</x:v>
      </x:c>
      <x:c r="Y7" s="42" t="b">
        <x:v>0</x:v>
      </x:c>
      <x:c r="Z7" s="42" t="b">
        <x:v>1</x:v>
      </x:c>
      <x:c r="AA7" t="str">
        <x:v>Natural Gravel</x:v>
      </x:c>
      <x:c r="AB7" t="str">
        <x:v>direct</x:v>
      </x:c>
      <x:c r="AC7" t="n">
        <x:v>1</x:v>
      </x:c>
      <x:c r="AD7" s="42" t="b">
        <x:v>1</x:v>
      </x:c>
      <x:c r="AE7" s="42" t="b">
        <x:v>0</x:v>
      </x:c>
      <x:c r="AF7" s="42" t="b">
        <x:v>1</x:v>
      </x:c>
    </x:row>
    <x:row r="8">
      <x:c r="A8" t="str">
        <x:v>A04</x:v>
      </x:c>
      <x:c r="B8" t="str">
        <x:v>Bamboo House with Attic</x:v>
      </x:c>
      <x:c r="C8" t="str">
        <x:v>Soil Blocks</x:v>
      </x:c>
      <x:c r="D8" t="str">
        <x:v>review_required</x:v>
      </x:c>
      <x:c r="E8" t="str">
        <x:v>Soil block</x:v>
      </x:c>
      <x:c r="F8"/>
      <x:c r="G8"/>
      <x:c r="H8"/>
      <x:c r="I8" t="str">
        <x:v>soil</x:v>
      </x:c>
      <x:c r="J8" t="str">
        <x:v>direct</x:v>
      </x:c>
      <x:c r="K8"/>
      <x:c r="L8" s="42" t="b">
        <x:v>0</x:v>
      </x:c>
      <x:c r="M8" s="42" t="b">
        <x:v>0</x:v>
      </x:c>
      <x:c r="N8" s="42" t="b">
        <x:v>1</x:v>
      </x:c>
      <x:c r="O8" t="str">
        <x:v>Soil Blocks</x:v>
      </x:c>
      <x:c r="P8" t="str">
        <x:v>proxy</x:v>
      </x:c>
      <x:c r="Q8"/>
      <x:c r="R8" s="42" t="b">
        <x:v>0</x:v>
      </x:c>
      <x:c r="S8" s="42" t="b">
        <x:v>0</x:v>
      </x:c>
      <x:c r="T8" s="42" t="b">
        <x:v>1</x:v>
      </x:c>
      <x:c r="U8" t="str">
        <x:v>Soil Blocks</x:v>
      </x:c>
      <x:c r="V8" t="str">
        <x:v>proxy</x:v>
      </x:c>
      <x:c r="W8"/>
      <x:c r="X8" s="42" t="b">
        <x:v>0</x:v>
      </x:c>
      <x:c r="Y8" s="42" t="b">
        <x:v>0</x:v>
      </x:c>
      <x:c r="Z8" s="42" t="b">
        <x:v>1</x:v>
      </x:c>
      <x:c r="AA8" t="str">
        <x:v>Soil Blocks</x:v>
      </x:c>
      <x:c r="AB8" t="str">
        <x:v>proxy</x:v>
      </x:c>
      <x:c r="AC8"/>
      <x:c r="AD8" s="42" t="b">
        <x:v>0</x:v>
      </x:c>
      <x:c r="AE8" s="42" t="b">
        <x:v>0</x:v>
      </x:c>
      <x:c r="AF8" s="42" t="b">
        <x:v>1</x:v>
      </x:c>
    </x:row>
    <x:row r="9">
      <x:c r="A9" t="str">
        <x:v>A05</x:v>
      </x:c>
      <x:c r="B9" t="str">
        <x:v>Bamboo House with Attic</x:v>
      </x:c>
      <x:c r="C9" t="str">
        <x:v>Wood</x:v>
      </x:c>
      <x:c r="D9" t="str">
        <x:v>proxy</x:v>
      </x:c>
      <x:c r="E9" t="str">
        <x:v>Wood</x:v>
      </x:c>
      <x:c r="F9" t="str">
        <x:v>2b61a4d6-bd1d-4ea3-828c-fdbdf5fca1f9</x:v>
      </x:c>
      <x:c r="G9" t="n">
        <x:v>1</x:v>
      </x:c>
      <x:c r="H9" t="n">
        <x:v>0</x:v>
      </x:c>
      <x:c r="I9" t="str">
        <x:v>wood</x:v>
      </x:c>
      <x:c r="J9" t="str">
        <x:v>direct</x:v>
      </x:c>
      <x:c r="K9" t="n">
        <x:v>0</x:v>
      </x:c>
      <x:c r="L9" s="42" t="b">
        <x:v>0</x:v>
      </x:c>
      <x:c r="M9" s="42" t="b">
        <x:v>0</x:v>
      </x:c>
      <x:c r="N9" s="42" t="b">
        <x:v>1</x:v>
      </x:c>
      <x:c r="O9" t="str">
        <x:v>Wood</x:v>
      </x:c>
      <x:c r="P9" t="str">
        <x:v>proxy</x:v>
      </x:c>
      <x:c r="Q9" t="n">
        <x:v>0</x:v>
      </x:c>
      <x:c r="R9" s="42" t="b">
        <x:v>1</x:v>
      </x:c>
      <x:c r="S9" s="42" t="b">
        <x:v>0</x:v>
      </x:c>
      <x:c r="T9" s="42" t="b">
        <x:v>1</x:v>
      </x:c>
      <x:c r="U9" t="str">
        <x:v>Wood</x:v>
      </x:c>
      <x:c r="V9" t="str">
        <x:v>direct</x:v>
      </x:c>
      <x:c r="W9" t="n">
        <x:v>0</x:v>
      </x:c>
      <x:c r="X9" s="42" t="b">
        <x:v>0</x:v>
      </x:c>
      <x:c r="Y9" s="42" t="b">
        <x:v>0</x:v>
      </x:c>
      <x:c r="Z9" s="42" t="b">
        <x:v>1</x:v>
      </x:c>
      <x:c r="AA9" t="str">
        <x:v>Wood</x:v>
      </x:c>
      <x:c r="AB9" t="str">
        <x:v>direct</x:v>
      </x:c>
      <x:c r="AC9" t="n">
        <x:v>0</x:v>
      </x:c>
      <x:c r="AD9" s="42" t="b">
        <x:v>0</x:v>
      </x:c>
      <x:c r="AE9" s="42" t="b">
        <x:v>0</x:v>
      </x:c>
      <x:c r="AF9" s="42" t="b">
        <x:v>1</x:v>
      </x:c>
    </x:row>
    <x:row r="10">
      <x:c r="A10" t="str">
        <x:v>A06</x:v>
      </x:c>
      <x:c r="B10" t="str">
        <x:v>Bamboo House with Attic</x:v>
      </x:c>
      <x:c r="C10" t="str">
        <x:v>Bamboo</x:v>
      </x:c>
      <x:c r="D10" t="str">
        <x:v>review_required</x:v>
      </x:c>
      <x:c r="E10" t="str">
        <x:v>Bamboo</x:v>
      </x:c>
      <x:c r="F10"/>
      <x:c r="G10"/>
      <x:c r="H10"/>
      <x:c r="I10" t="str">
        <x:v>bamboo</x:v>
      </x:c>
      <x:c r="J10" t="str">
        <x:v>proxy</x:v>
      </x:c>
      <x:c r="K10"/>
      <x:c r="L10" s="42" t="b">
        <x:v>0</x:v>
      </x:c>
      <x:c r="M10" s="42" t="b">
        <x:v>0</x:v>
      </x:c>
      <x:c r="N10" s="42" t="b">
        <x:v>1</x:v>
      </x:c>
      <x:c r="O10" t="str">
        <x:v>Bamboo</x:v>
      </x:c>
      <x:c r="P10" t="str">
        <x:v>review_required</x:v>
      </x:c>
      <x:c r="Q10"/>
      <x:c r="R10" s="42" t="b">
        <x:v>1</x:v>
      </x:c>
      <x:c r="S10" s="42" t="b">
        <x:v>1</x:v>
      </x:c>
      <x:c r="T10" s="42" t="b">
        <x:v>1</x:v>
      </x:c>
      <x:c r="U10" t="str">
        <x:v>Bamboo</x:v>
      </x:c>
      <x:c r="V10" t="str">
        <x:v>direct</x:v>
      </x:c>
      <x:c r="W10"/>
      <x:c r="X10" s="42" t="b">
        <x:v>0</x:v>
      </x:c>
      <x:c r="Y10" s="42" t="b">
        <x:v>0</x:v>
      </x:c>
      <x:c r="Z10" s="42" t="b">
        <x:v>1</x:v>
      </x:c>
      <x:c r="AA10" t="str">
        <x:v>Bamboo</x:v>
      </x:c>
      <x:c r="AB10" t="str">
        <x:v>proxy</x:v>
      </x:c>
      <x:c r="AC10"/>
      <x:c r="AD10" s="42" t="b">
        <x:v>0</x:v>
      </x:c>
      <x:c r="AE10" s="42" t="b">
        <x:v>0</x:v>
      </x:c>
      <x:c r="AF10" s="42" t="b">
        <x:v>1</x:v>
      </x:c>
    </x:row>
    <x:row r="11">
      <x:c r="A11" t="str">
        <x:v>A07</x:v>
      </x:c>
      <x:c r="B11" t="str">
        <x:v>Bamboo House with Attic</x:v>
      </x:c>
      <x:c r="C11" t="str">
        <x:v>Rebar</x:v>
      </x:c>
      <x:c r="D11" t="str">
        <x:v>direct</x:v>
      </x:c>
      <x:c r="E11" t="str">
        <x:v>Rebar</x:v>
      </x:c>
      <x:c r="F11" t="str">
        <x:v>268a11fb-baf2-4b9e-8867-38bea0e76ef6</x:v>
      </x:c>
      <x:c r="G11" t="n">
        <x:v>1</x:v>
      </x:c>
      <x:c r="H11" t="n">
        <x:v>1</x:v>
      </x:c>
      <x:c r="I11" t="str">
        <x:v>Steel rebar</x:v>
      </x:c>
      <x:c r="J11" t="str">
        <x:v>direct</x:v>
      </x:c>
      <x:c r="K11" t="n">
        <x:v>1</x:v>
      </x:c>
      <x:c r="L11" s="42" t="b">
        <x:v>1</x:v>
      </x:c>
      <x:c r="M11" s="42" t="b">
        <x:v>0</x:v>
      </x:c>
      <x:c r="N11" s="42" t="b">
        <x:v>1</x:v>
      </x:c>
      <x:c r="O11" t="str">
        <x:v>Rebar</x:v>
      </x:c>
      <x:c r="P11" t="str">
        <x:v>direct</x:v>
      </x:c>
      <x:c r="Q11" t="n">
        <x:v>1</x:v>
      </x:c>
      <x:c r="R11" s="42" t="b">
        <x:v>1</x:v>
      </x:c>
      <x:c r="S11" s="42" t="b">
        <x:v>1</x:v>
      </x:c>
      <x:c r="T11" s="42" t="b">
        <x:v>1</x:v>
      </x:c>
      <x:c r="U11" t="str">
        <x:v>Rebar</x:v>
      </x:c>
      <x:c r="V11" t="str">
        <x:v>direct</x:v>
      </x:c>
      <x:c r="W11" t="n">
        <x:v>0</x:v>
      </x:c>
      <x:c r="X11" s="42" t="b">
        <x:v>1</x:v>
      </x:c>
      <x:c r="Y11" s="42" t="b">
        <x:v>0</x:v>
      </x:c>
      <x:c r="Z11" s="42" t="b">
        <x:v>1</x:v>
      </x:c>
      <x:c r="AA11" t="str">
        <x:v>Steel rebar</x:v>
      </x:c>
      <x:c r="AB11" t="str">
        <x:v>proxy</x:v>
      </x:c>
      <x:c r="AC11" t="n">
        <x:v>0</x:v>
      </x:c>
      <x:c r="AD11" s="42" t="b">
        <x:v>0</x:v>
      </x:c>
      <x:c r="AE11" s="42" t="b">
        <x:v>0</x:v>
      </x:c>
      <x:c r="AF11" s="42" t="b">
        <x:v>1</x:v>
      </x:c>
    </x:row>
    <x:row r="12">
      <x:c r="A12" t="str">
        <x:v>A08</x:v>
      </x:c>
      <x:c r="B12" t="str">
        <x:v>Bamboo House with Attic</x:v>
      </x:c>
      <x:c r="C12" t="str">
        <x:v>Soil</x:v>
      </x:c>
      <x:c r="D12" t="str">
        <x:v>review_required</x:v>
      </x:c>
      <x:c r="E12" t="str">
        <x:v>Soil</x:v>
      </x:c>
      <x:c r="F12"/>
      <x:c r="G12"/>
      <x:c r="H12"/>
      <x:c r="I12" t="str">
        <x:v>soil</x:v>
      </x:c>
      <x:c r="J12" t="str">
        <x:v>proxy</x:v>
      </x:c>
      <x:c r="K12"/>
      <x:c r="L12" s="42" t="b">
        <x:v>0</x:v>
      </x:c>
      <x:c r="M12" s="42" t="b">
        <x:v>0</x:v>
      </x:c>
      <x:c r="N12" s="42" t="b">
        <x:v>1</x:v>
      </x:c>
      <x:c r="O12" t="str">
        <x:v>Soil</x:v>
      </x:c>
      <x:c r="P12" t="str">
        <x:v>review_required</x:v>
      </x:c>
      <x:c r="Q12"/>
      <x:c r="R12" s="42" t="b">
        <x:v>1</x:v>
      </x:c>
      <x:c r="S12" s="42" t="b">
        <x:v>1</x:v>
      </x:c>
      <x:c r="T12" s="42" t="b">
        <x:v>1</x:v>
      </x:c>
      <x:c r="U12" t="str">
        <x:v>Soil</x:v>
      </x:c>
      <x:c r="V12" t="str">
        <x:v>direct</x:v>
      </x:c>
      <x:c r="W12"/>
      <x:c r="X12" s="42" t="b">
        <x:v>0</x:v>
      </x:c>
      <x:c r="Y12" s="42" t="b">
        <x:v>0</x:v>
      </x:c>
      <x:c r="Z12" s="42" t="b">
        <x:v>1</x:v>
      </x:c>
      <x:c r="AA12" t="str">
        <x:v>Soil</x:v>
      </x:c>
      <x:c r="AB12" t="str">
        <x:v>proxy</x:v>
      </x:c>
      <x:c r="AC12"/>
      <x:c r="AD12" s="42" t="b">
        <x:v>0</x:v>
      </x:c>
      <x:c r="AE12" s="42" t="b">
        <x:v>0</x:v>
      </x:c>
      <x:c r="AF12" s="42" t="b">
        <x:v>1</x:v>
      </x:c>
    </x:row>
    <x:row r="13">
      <x:c r="A13" t="str">
        <x:v>A09</x:v>
      </x:c>
      <x:c r="B13" t="str">
        <x:v>Bamboo House with Attic</x:v>
      </x:c>
      <x:c r="C13" t="str">
        <x:v>CGI Sheets</x:v>
      </x:c>
      <x:c r="D13" t="str">
        <x:v>proxy</x:v>
      </x:c>
      <x:c r="E13" t="str">
        <x:v>Corrugated galvanized steel sheet</x:v>
      </x:c>
      <x:c r="F13" t="str">
        <x:v>339b2536-c881-409d-ac71-49ab0d228fe3</x:v>
      </x:c>
      <x:c r="G13" t="n">
        <x:v>0</x:v>
      </x:c>
      <x:c r="H13" t="n">
        <x:v>0</x:v>
      </x:c>
      <x:c r="I13" t="str">
        <x:v>cartonboard</x:v>
      </x:c>
      <x:c r="J13" t="str">
        <x:v>direct</x:v>
      </x:c>
      <x:c r="K13" t="n">
        <x:v>0</x:v>
      </x:c>
      <x:c r="L13" s="42" t="b">
        <x:v>0</x:v>
      </x:c>
      <x:c r="M13" s="42" t="b">
        <x:v>0</x:v>
      </x:c>
      <x:c r="N13" s="42" t="b">
        <x:v>1</x:v>
      </x:c>
      <x:c r="O13" t="str">
        <x:v>CGI Sheets</x:v>
      </x:c>
      <x:c r="P13" t="str">
        <x:v>proxy</x:v>
      </x:c>
      <x:c r="Q13" t="n">
        <x:v>0</x:v>
      </x:c>
      <x:c r="R13" s="42" t="b">
        <x:v>1</x:v>
      </x:c>
      <x:c r="S13" s="42" t="b">
        <x:v>0</x:v>
      </x:c>
      <x:c r="T13" s="42" t="b">
        <x:v>1</x:v>
      </x:c>
      <x:c r="U13" t="str">
        <x:v>cartonboard sheets</x:v>
      </x:c>
      <x:c r="V13" t="str">
        <x:v>direct</x:v>
      </x:c>
      <x:c r="W13" t="n">
        <x:v>0</x:v>
      </x:c>
      <x:c r="X13" s="42" t="b">
        <x:v>0</x:v>
      </x:c>
      <x:c r="Y13" s="42" t="b">
        <x:v>0</x:v>
      </x:c>
      <x:c r="Z13" s="42" t="b">
        <x:v>1</x:v>
      </x:c>
      <x:c r="AA13" t="str">
        <x:v>Corrugated fiberboard sheets</x:v>
      </x:c>
      <x:c r="AB13" t="str">
        <x:v>proxy</x:v>
      </x:c>
      <x:c r="AC13" t="n">
        <x:v>0</x:v>
      </x:c>
      <x:c r="AD13" s="42" t="b">
        <x:v>1</x:v>
      </x:c>
      <x:c r="AE13" s="42" t="b">
        <x:v>0</x:v>
      </x:c>
      <x:c r="AF13" s="42" t="b">
        <x:v>1</x:v>
      </x:c>
    </x:row>
    <x:row r="14">
      <x:c r="A14" t="str">
        <x:v>B01</x:v>
      </x:c>
      <x:c r="B14" t="str">
        <x:v>Bamboo House</x:v>
      </x:c>
      <x:c r="C14" t="str">
        <x:v>Cement</x:v>
      </x:c>
      <x:c r="D14" t="str">
        <x:v>direct</x:v>
      </x:c>
      <x:c r="E14" t="str">
        <x:v>Cement</x:v>
      </x:c>
      <x:c r="F14" t="str">
        <x:v>600573dd-dfa5-44e5-b458-8727e793ffd7</x:v>
      </x:c>
      <x:c r="G14" t="n">
        <x:v>1</x:v>
      </x:c>
      <x:c r="H14" t="n">
        <x:v>1</x:v>
      </x:c>
      <x:c r="I14" t="str">
        <x:v>cement</x:v>
      </x:c>
      <x:c r="J14" t="str">
        <x:v>proxy</x:v>
      </x:c>
      <x:c r="K14" t="n">
        <x:v>0</x:v>
      </x:c>
      <x:c r="L14" s="42" t="b">
        <x:v>0</x:v>
      </x:c>
      <x:c r="M14" s="42" t="b">
        <x:v>0</x:v>
      </x:c>
      <x:c r="N14" s="42" t="b">
        <x:v>1</x:v>
      </x:c>
      <x:c r="O14" t="str">
        <x:v>Cement</x:v>
      </x:c>
      <x:c r="P14" t="str">
        <x:v>direct</x:v>
      </x:c>
      <x:c r="Q14" t="n">
        <x:v>1</x:v>
      </x:c>
      <x:c r="R14" s="42" t="b">
        <x:v>1</x:v>
      </x:c>
      <x:c r="S14" s="42" t="b">
        <x:v>1</x:v>
      </x:c>
      <x:c r="T14" s="42" t="b">
        <x:v>1</x:v>
      </x:c>
      <x:c r="U14" t="str">
        <x:v>Cement</x:v>
      </x:c>
      <x:c r="V14" t="str">
        <x:v>direct</x:v>
      </x:c>
      <x:c r="W14" t="n">
        <x:v>0</x:v>
      </x:c>
      <x:c r="X14" s="42" t="b">
        <x:v>1</x:v>
      </x:c>
      <x:c r="Y14" s="42" t="b">
        <x:v>0</x:v>
      </x:c>
      <x:c r="Z14" s="42" t="b">
        <x:v>0</x:v>
      </x:c>
      <x:c r="AA14" t="str">
        <x:v>Cement</x:v>
      </x:c>
      <x:c r="AB14" t="str">
        <x:v>proxy</x:v>
      </x:c>
      <x:c r="AC14" t="n">
        <x:v>1</x:v>
      </x:c>
      <x:c r="AD14" s="42" t="b">
        <x:v>0</x:v>
      </x:c>
      <x:c r="AE14" s="42" t="b">
        <x:v>0</x:v>
      </x:c>
      <x:c r="AF14" s="42" t="b">
        <x:v>1</x:v>
      </x:c>
    </x:row>
    <x:row r="15">
      <x:c r="A15" t="str">
        <x:v>B02</x:v>
      </x:c>
      <x:c r="B15" t="str">
        <x:v>Bamboo House</x:v>
      </x:c>
      <x:c r="C15" t="str">
        <x:v>Sand</x:v>
      </x:c>
      <x:c r="D15" t="str">
        <x:v>direct</x:v>
      </x:c>
      <x:c r="E15" t="str">
        <x:v>Sand</x:v>
      </x:c>
      <x:c r="F15" t="str">
        <x:v>898618b1-3306-11dd-bd11-0800200c9a66</x:v>
      </x:c>
      <x:c r="G15" t="n">
        <x:v>1</x:v>
      </x:c>
      <x:c r="H15" t="n">
        <x:v>1</x:v>
      </x:c>
      <x:c r="I15" t="str">
        <x:v>silica sand</x:v>
      </x:c>
      <x:c r="J15" t="str">
        <x:v>proxy</x:v>
      </x:c>
      <x:c r="K15" t="n">
        <x:v>0</x:v>
      </x:c>
      <x:c r="L15" s="42" t="b">
        <x:v>0</x:v>
      </x:c>
      <x:c r="M15" s="42" t="b">
        <x:v>0</x:v>
      </x:c>
      <x:c r="N15" s="42" t="b">
        <x:v>1</x:v>
      </x:c>
      <x:c r="O15" t="str">
        <x:v>sand</x:v>
      </x:c>
      <x:c r="P15" t="str">
        <x:v>proxy</x:v>
      </x:c>
      <x:c r="Q15" t="n">
        <x:v>1</x:v>
      </x:c>
      <x:c r="R15" s="42" t="b">
        <x:v>0</x:v>
      </x:c>
      <x:c r="S15" s="42" t="b">
        <x:v>0</x:v>
      </x:c>
      <x:c r="T15" s="42" t="b">
        <x:v>1</x:v>
      </x:c>
      <x:c r="U15" t="str">
        <x:v>Sand</x:v>
      </x:c>
      <x:c r="V15" t="str">
        <x:v>direct</x:v>
      </x:c>
      <x:c r="W15" t="n">
        <x:v>0</x:v>
      </x:c>
      <x:c r="X15" s="42" t="b">
        <x:v>1</x:v>
      </x:c>
      <x:c r="Y15" s="42" t="b">
        <x:v>0</x:v>
      </x:c>
      <x:c r="Z15" s="42" t="b">
        <x:v>1</x:v>
      </x:c>
      <x:c r="AA15" t="str">
        <x:v>Silica sand</x:v>
      </x:c>
      <x:c r="AB15" t="str">
        <x:v>proxy</x:v>
      </x:c>
      <x:c r="AC15" t="n">
        <x:v>1</x:v>
      </x:c>
      <x:c r="AD15" s="42" t="b">
        <x:v>0</x:v>
      </x:c>
      <x:c r="AE15" s="42" t="b">
        <x:v>0</x:v>
      </x:c>
      <x:c r="AF15" s="42" t="b">
        <x:v>1</x:v>
      </x:c>
    </x:row>
    <x:row r="16">
      <x:c r="A16" t="str">
        <x:v>B03</x:v>
      </x:c>
      <x:c r="B16" t="str">
        <x:v>Bamboo House</x:v>
      </x:c>
      <x:c r="C16" t="str">
        <x:v>Natural Gravel</x:v>
      </x:c>
      <x:c r="D16" t="str">
        <x:v>direct</x:v>
      </x:c>
      <x:c r="E16" t="str">
        <x:v>Gravel</x:v>
      </x:c>
      <x:c r="F16" t="str">
        <x:v>898618b2-3306-11dd-bd11-0800200c9a66</x:v>
      </x:c>
      <x:c r="G16" t="n">
        <x:v>1</x:v>
      </x:c>
      <x:c r="H16" t="n">
        <x:v>0</x:v>
      </x:c>
      <x:c r="I16" t="str">
        <x:v>Gravel</x:v>
      </x:c>
      <x:c r="J16" t="str">
        <x:v>direct</x:v>
      </x:c>
      <x:c r="K16" t="n">
        <x:v>1</x:v>
      </x:c>
      <x:c r="L16" s="42" t="b">
        <x:v>1</x:v>
      </x:c>
      <x:c r="M16" s="42" t="b">
        <x:v>1</x:v>
      </x:c>
      <x:c r="N16" s="42" t="b">
        <x:v>1</x:v>
      </x:c>
      <x:c r="O16" t="str">
        <x:v>Natural Gravel</x:v>
      </x:c>
      <x:c r="P16" t="str">
        <x:v>direct</x:v>
      </x:c>
      <x:c r="Q16" t="n">
        <x:v>1</x:v>
      </x:c>
      <x:c r="R16" s="42" t="b">
        <x:v>1</x:v>
      </x:c>
      <x:c r="S16" s="42" t="b">
        <x:v>0</x:v>
      </x:c>
      <x:c r="T16" s="42" t="b">
        <x:v>1</x:v>
      </x:c>
      <x:c r="U16" t="str">
        <x:v>Gravel</x:v>
      </x:c>
      <x:c r="V16" t="str">
        <x:v>direct</x:v>
      </x:c>
      <x:c r="W16" t="n">
        <x:v>0</x:v>
      </x:c>
      <x:c r="X16" s="42" t="b">
        <x:v>1</x:v>
      </x:c>
      <x:c r="Y16" s="42" t="b">
        <x:v>0</x:v>
      </x:c>
      <x:c r="Z16" s="42" t="b">
        <x:v>0</x:v>
      </x:c>
      <x:c r="AA16" t="str">
        <x:v>Natural Gravel</x:v>
      </x:c>
      <x:c r="AB16" t="str">
        <x:v>proxy</x:v>
      </x:c>
      <x:c r="AC16" t="n">
        <x:v>1</x:v>
      </x:c>
      <x:c r="AD16" s="42" t="b">
        <x:v>0</x:v>
      </x:c>
      <x:c r="AE16" s="42" t="b">
        <x:v>0</x:v>
      </x:c>
      <x:c r="AF16" s="42" t="b">
        <x:v>1</x:v>
      </x:c>
    </x:row>
    <x:row r="17">
      <x:c r="A17" t="str">
        <x:v>B04</x:v>
      </x:c>
      <x:c r="B17" t="str">
        <x:v>Bamboo House</x:v>
      </x:c>
      <x:c r="C17" t="str">
        <x:v>Stone</x:v>
      </x:c>
      <x:c r="D17" t="str">
        <x:v>proxy</x:v>
      </x:c>
      <x:c r="E17" t="str">
        <x:v>Stone</x:v>
      </x:c>
      <x:c r="F17" t="str">
        <x:v>898618b3-3306-11dd-bd11-0800200c9a66</x:v>
      </x:c>
      <x:c r="G17" t="n">
        <x:v>1</x:v>
      </x:c>
      <x:c r="H17" t="n">
        <x:v>0</x:v>
      </x:c>
      <x:c r="I17" t="str">
        <x:v>stone</x:v>
      </x:c>
      <x:c r="J17" t="str">
        <x:v>proxy</x:v>
      </x:c>
      <x:c r="K17" t="n">
        <x:v>1</x:v>
      </x:c>
      <x:c r="L17" s="42" t="b">
        <x:v>1</x:v>
      </x:c>
      <x:c r="M17" s="42" t="b">
        <x:v>1</x:v>
      </x:c>
      <x:c r="N17" s="42" t="b">
        <x:v>1</x:v>
      </x:c>
      <x:c r="O17" t="str">
        <x:v>Stone</x:v>
      </x:c>
      <x:c r="P17" t="str">
        <x:v>proxy</x:v>
      </x:c>
      <x:c r="Q17" t="n">
        <x:v>1</x:v>
      </x:c>
      <x:c r="R17" s="42" t="b">
        <x:v>1</x:v>
      </x:c>
      <x:c r="S17" s="42" t="b">
        <x:v>1</x:v>
      </x:c>
      <x:c r="T17" s="42" t="b">
        <x:v>1</x:v>
      </x:c>
      <x:c r="U17" t="str">
        <x:v>Stone</x:v>
      </x:c>
      <x:c r="V17" t="str">
        <x:v>direct</x:v>
      </x:c>
      <x:c r="W17" t="n">
        <x:v>0</x:v>
      </x:c>
      <x:c r="X17" s="42" t="b">
        <x:v>0</x:v>
      </x:c>
      <x:c r="Y17" s="42" t="b">
        <x:v>0</x:v>
      </x:c>
      <x:c r="Z17" s="42" t="b">
        <x:v>1</x:v>
      </x:c>
      <x:c r="AA17" t="str">
        <x:v>Stone</x:v>
      </x:c>
      <x:c r="AB17" t="str">
        <x:v>direct</x:v>
      </x:c>
      <x:c r="AC17" t="n">
        <x:v>1</x:v>
      </x:c>
      <x:c r="AD17" s="42" t="b">
        <x:v>0</x:v>
      </x:c>
      <x:c r="AE17" s="42" t="b">
        <x:v>0</x:v>
      </x:c>
      <x:c r="AF17" s="42" t="b">
        <x:v>1</x:v>
      </x:c>
    </x:row>
    <x:row r="18">
      <x:c r="A18" t="str">
        <x:v>B05</x:v>
      </x:c>
      <x:c r="B18" t="str">
        <x:v>Bamboo House</x:v>
      </x:c>
      <x:c r="C18" t="str">
        <x:v>Soil</x:v>
      </x:c>
      <x:c r="D18" t="str">
        <x:v>review_required</x:v>
      </x:c>
      <x:c r="E18" t="str">
        <x:v>Soil</x:v>
      </x:c>
      <x:c r="F18"/>
      <x:c r="G18"/>
      <x:c r="H18"/>
      <x:c r="I18" t="str">
        <x:v>soil</x:v>
      </x:c>
      <x:c r="J18" t="str">
        <x:v>direct</x:v>
      </x:c>
      <x:c r="K18"/>
      <x:c r="L18" s="42" t="b">
        <x:v>0</x:v>
      </x:c>
      <x:c r="M18" s="42" t="b">
        <x:v>0</x:v>
      </x:c>
      <x:c r="N18" s="42" t="b">
        <x:v>1</x:v>
      </x:c>
      <x:c r="O18" t="str">
        <x:v>Soil</x:v>
      </x:c>
      <x:c r="P18" t="str">
        <x:v>review_required</x:v>
      </x:c>
      <x:c r="Q18"/>
      <x:c r="R18" s="42" t="b">
        <x:v>1</x:v>
      </x:c>
      <x:c r="S18" s="42" t="b">
        <x:v>1</x:v>
      </x:c>
      <x:c r="T18" s="42" t="b">
        <x:v>1</x:v>
      </x:c>
      <x:c r="U18" t="str">
        <x:v>Soil</x:v>
      </x:c>
      <x:c r="V18" t="str">
        <x:v>direct</x:v>
      </x:c>
      <x:c r="W18"/>
      <x:c r="X18" s="42" t="b">
        <x:v>0</x:v>
      </x:c>
      <x:c r="Y18" s="42" t="b">
        <x:v>0</x:v>
      </x:c>
      <x:c r="Z18" s="42" t="b">
        <x:v>1</x:v>
      </x:c>
      <x:c r="AA18" t="str">
        <x:v>Soil</x:v>
      </x:c>
      <x:c r="AB18" t="str">
        <x:v>review_required</x:v>
      </x:c>
      <x:c r="AC18"/>
      <x:c r="AD18" s="42" t="b">
        <x:v>1</x:v>
      </x:c>
      <x:c r="AE18" s="42" t="b">
        <x:v>1</x:v>
      </x:c>
      <x:c r="AF18" s="42" t="b">
        <x:v>0</x:v>
      </x:c>
    </x:row>
    <x:row r="19">
      <x:c r="A19" t="str">
        <x:v>B06</x:v>
      </x:c>
      <x:c r="B19" t="str">
        <x:v>Bamboo House</x:v>
      </x:c>
      <x:c r="C19" t="str">
        <x:v>Local Wood</x:v>
      </x:c>
      <x:c r="D19" t="str">
        <x:v>proxy</x:v>
      </x:c>
      <x:c r="E19" t="str">
        <x:v>Wood</x:v>
      </x:c>
      <x:c r="F19" t="str">
        <x:v>2b61a4d6-bd1d-4ea3-828c-fdbdf5fca1f9</x:v>
      </x:c>
      <x:c r="G19" t="n">
        <x:v>1</x:v>
      </x:c>
      <x:c r="H19" t="n">
        <x:v>0</x:v>
      </x:c>
      <x:c r="I19" t="str">
        <x:v>Wood</x:v>
      </x:c>
      <x:c r="J19" t="str">
        <x:v>direct</x:v>
      </x:c>
      <x:c r="K19" t="n">
        <x:v>1</x:v>
      </x:c>
      <x:c r="L19" s="42" t="b">
        <x:v>0</x:v>
      </x:c>
      <x:c r="M19" s="42" t="b">
        <x:v>0</x:v>
      </x:c>
      <x:c r="N19" s="42" t="b">
        <x:v>1</x:v>
      </x:c>
      <x:c r="O19" t="str">
        <x:v>Wood</x:v>
      </x:c>
      <x:c r="P19" t="str">
        <x:v>proxy</x:v>
      </x:c>
      <x:c r="Q19" t="n">
        <x:v>1</x:v>
      </x:c>
      <x:c r="R19" s="42" t="b">
        <x:v>1</x:v>
      </x:c>
      <x:c r="S19" s="42" t="b">
        <x:v>1</x:v>
      </x:c>
      <x:c r="T19" s="42" t="b">
        <x:v>0</x:v>
      </x:c>
      <x:c r="U19" t="str">
        <x:v>Local Wood</x:v>
      </x:c>
      <x:c r="V19" t="str">
        <x:v>direct</x:v>
      </x:c>
      <x:c r="W19" t="n">
        <x:v>1</x:v>
      </x:c>
      <x:c r="X19" s="42" t="b">
        <x:v>0</x:v>
      </x:c>
      <x:c r="Y19" s="42" t="b">
        <x:v>0</x:v>
      </x:c>
      <x:c r="Z19" s="42" t="b">
        <x:v>1</x:v>
      </x:c>
      <x:c r="AA19" t="str">
        <x:v>Wood</x:v>
      </x:c>
      <x:c r="AB19" t="str">
        <x:v>direct</x:v>
      </x:c>
      <x:c r="AC19" t="n">
        <x:v>1</x:v>
      </x:c>
      <x:c r="AD19" s="42" t="b">
        <x:v>0</x:v>
      </x:c>
      <x:c r="AE19" s="42" t="b">
        <x:v>0</x:v>
      </x:c>
      <x:c r="AF19" s="42" t="b">
        <x:v>1</x:v>
      </x:c>
    </x:row>
    <x:row r="20">
      <x:c r="A20" t="str">
        <x:v>B07</x:v>
      </x:c>
      <x:c r="B20" t="str">
        <x:v>Bamboo House</x:v>
      </x:c>
      <x:c r="C20" t="str">
        <x:v>19mm Plywood</x:v>
      </x:c>
      <x:c r="D20" t="str">
        <x:v>proxy</x:v>
      </x:c>
      <x:c r="E20" t="str">
        <x:v>Plywood</x:v>
      </x:c>
      <x:c r="F20" t="str">
        <x:v>f7e0f0fd-fb6b-40b5-9300-bddba423e084</x:v>
      </x:c>
      <x:c r="G20" t="n">
        <x:v>0</x:v>
      </x:c>
      <x:c r="H20" t="n">
        <x:v>0</x:v>
      </x:c>
      <x:c r="I20" t="str">
        <x:v>Plywood</x:v>
      </x:c>
      <x:c r="J20" t="str">
        <x:v>direct</x:v>
      </x:c>
      <x:c r="K20" t="n">
        <x:v>0</x:v>
      </x:c>
      <x:c r="L20" s="42" t="b">
        <x:v>0</x:v>
      </x:c>
      <x:c r="M20" s="42" t="b">
        <x:v>0</x:v>
      </x:c>
      <x:c r="N20" s="42" t="b">
        <x:v>1</x:v>
      </x:c>
      <x:c r="O20" t="str">
        <x:v>19mm Plywood</x:v>
      </x:c>
      <x:c r="P20" t="str">
        <x:v>proxy</x:v>
      </x:c>
      <x:c r="Q20" t="n">
        <x:v>0</x:v>
      </x:c>
      <x:c r="R20" s="42" t="b">
        <x:v>1</x:v>
      </x:c>
      <x:c r="S20" s="42" t="b">
        <x:v>0</x:v>
      </x:c>
      <x:c r="T20" s="42" t="b">
        <x:v>1</x:v>
      </x:c>
      <x:c r="U20" t="str">
        <x:v>19mm Plywood</x:v>
      </x:c>
      <x:c r="V20" t="str">
        <x:v>direct</x:v>
      </x:c>
      <x:c r="W20" t="n">
        <x:v>0</x:v>
      </x:c>
      <x:c r="X20" s="42" t="b">
        <x:v>0</x:v>
      </x:c>
      <x:c r="Y20" s="42" t="b">
        <x:v>0</x:v>
      </x:c>
      <x:c r="Z20" s="42" t="b">
        <x:v>1</x:v>
      </x:c>
      <x:c r="AA20" t="str">
        <x:v>19mm Plywood</x:v>
      </x:c>
      <x:c r="AB20" t="str">
        <x:v>proxy</x:v>
      </x:c>
      <x:c r="AC20" t="n">
        <x:v>0</x:v>
      </x:c>
      <x:c r="AD20" s="42" t="b">
        <x:v>1</x:v>
      </x:c>
      <x:c r="AE20" s="42" t="b">
        <x:v>0</x:v>
      </x:c>
      <x:c r="AF20" s="42" t="b">
        <x:v>1</x:v>
      </x:c>
    </x:row>
    <x:row r="21">
      <x:c r="A21" t="str">
        <x:v>B08</x:v>
      </x:c>
      <x:c r="B21" t="str">
        <x:v>Bamboo House</x:v>
      </x:c>
      <x:c r="C21" t="str">
        <x:v>Nail</x:v>
      </x:c>
      <x:c r="D21" t="str">
        <x:v>proxy</x:v>
      </x:c>
      <x:c r="E21" t="str">
        <x:v>Steel nail</x:v>
      </x:c>
      <x:c r="F21" t="str">
        <x:v>09d61948-238a-40e7-8e1f-afdc0c98f902</x:v>
      </x:c>
      <x:c r="G21" t="n">
        <x:v>0</x:v>
      </x:c>
      <x:c r="H21" t="n">
        <x:v>0</x:v>
      </x:c>
      <x:c r="I21" t="str">
        <x:v>Steel</x:v>
      </x:c>
      <x:c r="J21" t="str">
        <x:v>direct</x:v>
      </x:c>
      <x:c r="K21" t="n">
        <x:v>0</x:v>
      </x:c>
      <x:c r="L21" s="42" t="b">
        <x:v>0</x:v>
      </x:c>
      <x:c r="M21" s="42" t="b">
        <x:v>0</x:v>
      </x:c>
      <x:c r="N21" s="42" t="b">
        <x:v>1</x:v>
      </x:c>
      <x:c r="O21" t="str">
        <x:v>Nail</x:v>
      </x:c>
      <x:c r="P21" t="str">
        <x:v>proxy</x:v>
      </x:c>
      <x:c r="Q21" t="n">
        <x:v>0</x:v>
      </x:c>
      <x:c r="R21" s="42" t="b">
        <x:v>1</x:v>
      </x:c>
      <x:c r="S21" s="42" t="b">
        <x:v>0</x:v>
      </x:c>
      <x:c r="T21" s="42" t="b">
        <x:v>1</x:v>
      </x:c>
      <x:c r="U21" t="str">
        <x:v>Nail</x:v>
      </x:c>
      <x:c r="V21" t="str">
        <x:v>direct</x:v>
      </x:c>
      <x:c r="W21" t="n">
        <x:v>0</x:v>
      </x:c>
      <x:c r="X21" s="42" t="b">
        <x:v>0</x:v>
      </x:c>
      <x:c r="Y21" s="42" t="b">
        <x:v>0</x:v>
      </x:c>
      <x:c r="Z21" s="42" t="b">
        <x:v>1</x:v>
      </x:c>
      <x:c r="AA21" t="str">
        <x:v>Nail</x:v>
      </x:c>
      <x:c r="AB21" t="str">
        <x:v>proxy</x:v>
      </x:c>
      <x:c r="AC21" t="n">
        <x:v>0</x:v>
      </x:c>
      <x:c r="AD21" s="42" t="b">
        <x:v>1</x:v>
      </x:c>
      <x:c r="AE21" s="42" t="b">
        <x:v>0</x:v>
      </x:c>
      <x:c r="AF21" s="42" t="b">
        <x:v>1</x:v>
      </x:c>
    </x:row>
    <x:row r="22">
      <x:c r="A22" t="str">
        <x:v>B09</x:v>
      </x:c>
      <x:c r="B22" t="str">
        <x:v>Bamboo House</x:v>
      </x:c>
      <x:c r="C22" t="str">
        <x:v>10mm Rebar</x:v>
      </x:c>
      <x:c r="D22" t="str">
        <x:v>direct</x:v>
      </x:c>
      <x:c r="E22" t="str">
        <x:v>Rebar</x:v>
      </x:c>
      <x:c r="F22" t="str">
        <x:v>268a11fb-baf2-4b9e-8867-38bea0e76ef6</x:v>
      </x:c>
      <x:c r="G22" t="n">
        <x:v>1</x:v>
      </x:c>
      <x:c r="H22" t="n">
        <x:v>1</x:v>
      </x:c>
      <x:c r="I22" t="str">
        <x:v>Steel rebar</x:v>
      </x:c>
      <x:c r="J22" t="str">
        <x:v>direct</x:v>
      </x:c>
      <x:c r="K22" t="n">
        <x:v>1</x:v>
      </x:c>
      <x:c r="L22" s="42" t="b">
        <x:v>1</x:v>
      </x:c>
      <x:c r="M22" s="42" t="b">
        <x:v>0</x:v>
      </x:c>
      <x:c r="N22" s="42" t="b">
        <x:v>1</x:v>
      </x:c>
      <x:c r="O22" t="str">
        <x:v>Rebar</x:v>
      </x:c>
      <x:c r="P22" t="str">
        <x:v>direct</x:v>
      </x:c>
      <x:c r="Q22" t="n">
        <x:v>1</x:v>
      </x:c>
      <x:c r="R22" s="42" t="b">
        <x:v>1</x:v>
      </x:c>
      <x:c r="S22" s="42" t="b">
        <x:v>1</x:v>
      </x:c>
      <x:c r="T22" s="42" t="b">
        <x:v>1</x:v>
      </x:c>
      <x:c r="U22" t="str">
        <x:v>10mm Rebar</x:v>
      </x:c>
      <x:c r="V22" t="str">
        <x:v>direct</x:v>
      </x:c>
      <x:c r="W22" t="n">
        <x:v>1</x:v>
      </x:c>
      <x:c r="X22" s="42" t="b">
        <x:v>1</x:v>
      </x:c>
      <x:c r="Y22" s="42" t="b">
        <x:v>0</x:v>
      </x:c>
      <x:c r="Z22" s="42" t="b">
        <x:v>1</x:v>
      </x:c>
      <x:c r="AA22" t="str">
        <x:v>10mm Rebar</x:v>
      </x:c>
      <x:c r="AB22" t="str">
        <x:v>proxy</x:v>
      </x:c>
      <x:c r="AC22" t="n">
        <x:v>1</x:v>
      </x:c>
      <x:c r="AD22" s="42" t="b">
        <x:v>0</x:v>
      </x:c>
      <x:c r="AE22" s="42" t="b">
        <x:v>0</x:v>
      </x:c>
      <x:c r="AF22" s="42" t="b">
        <x:v>1</x:v>
      </x:c>
    </x:row>
    <x:row r="23">
      <x:c r="A23" t="str">
        <x:v>B10</x:v>
      </x:c>
      <x:c r="B23" t="str">
        <x:v>Bamboo House</x:v>
      </x:c>
      <x:c r="C23" t="str">
        <x:v>7mm Rebar</x:v>
      </x:c>
      <x:c r="D23" t="str">
        <x:v>direct</x:v>
      </x:c>
      <x:c r="E23" t="str">
        <x:v>Rebar</x:v>
      </x:c>
      <x:c r="F23" t="str">
        <x:v>268a11fb-baf2-4b9e-8867-38bea0e76ef6</x:v>
      </x:c>
      <x:c r="G23" t="n">
        <x:v>1</x:v>
      </x:c>
      <x:c r="H23" t="n">
        <x:v>1</x:v>
      </x:c>
      <x:c r="I23" t="str">
        <x:v>Steel rebar</x:v>
      </x:c>
      <x:c r="J23" t="str">
        <x:v>direct</x:v>
      </x:c>
      <x:c r="K23" t="n">
        <x:v>1</x:v>
      </x:c>
      <x:c r="L23" s="42" t="b">
        <x:v>1</x:v>
      </x:c>
      <x:c r="M23" s="42" t="b">
        <x:v>0</x:v>
      </x:c>
      <x:c r="N23" s="42" t="b">
        <x:v>1</x:v>
      </x:c>
      <x:c r="O23" t="str">
        <x:v>Rebar</x:v>
      </x:c>
      <x:c r="P23" t="str">
        <x:v>direct</x:v>
      </x:c>
      <x:c r="Q23" t="n">
        <x:v>1</x:v>
      </x:c>
      <x:c r="R23" s="42" t="b">
        <x:v>1</x:v>
      </x:c>
      <x:c r="S23" s="42" t="b">
        <x:v>1</x:v>
      </x:c>
      <x:c r="T23" s="42" t="b">
        <x:v>1</x:v>
      </x:c>
      <x:c r="U23" t="str">
        <x:v>7mm Rebar</x:v>
      </x:c>
      <x:c r="V23" t="str">
        <x:v>direct</x:v>
      </x:c>
      <x:c r="W23" t="n">
        <x:v>0</x:v>
      </x:c>
      <x:c r="X23" s="42" t="b">
        <x:v>1</x:v>
      </x:c>
      <x:c r="Y23" s="42" t="b">
        <x:v>0</x:v>
      </x:c>
      <x:c r="Z23" s="42" t="b">
        <x:v>0</x:v>
      </x:c>
      <x:c r="AA23" t="str">
        <x:v>7mm Rebar</x:v>
      </x:c>
      <x:c r="AB23" t="str">
        <x:v>proxy</x:v>
      </x:c>
      <x:c r="AC23" t="n">
        <x:v>0</x:v>
      </x:c>
      <x:c r="AD23" s="42" t="b">
        <x:v>0</x:v>
      </x:c>
      <x:c r="AE23" s="42" t="b">
        <x:v>0</x:v>
      </x:c>
      <x:c r="AF23" s="42" t="b">
        <x:v>1</x:v>
      </x:c>
    </x:row>
    <x:row r="24">
      <x:c r="A24" t="str">
        <x:v>B11</x:v>
      </x:c>
      <x:c r="B24" t="str">
        <x:v>Bamboo House</x:v>
      </x:c>
      <x:c r="C24" t="str">
        <x:v>Binding Wire</x:v>
      </x:c>
      <x:c r="D24" t="str">
        <x:v>proxy</x:v>
      </x:c>
      <x:c r="E24" t="str">
        <x:v>Steel binding wire</x:v>
      </x:c>
      <x:c r="F24" t="str">
        <x:v>09d61948-238a-40e7-8e1f-afdc0c98f902</x:v>
      </x:c>
      <x:c r="G24" t="n">
        <x:v>0</x:v>
      </x:c>
      <x:c r="H24" t="n">
        <x:v>0</x:v>
      </x:c>
      <x:c r="I24" t="str">
        <x:v>Copper wire</x:v>
      </x:c>
      <x:c r="J24" t="str">
        <x:v>direct</x:v>
      </x:c>
      <x:c r="K24" t="n">
        <x:v>0</x:v>
      </x:c>
      <x:c r="L24" s="42" t="b">
        <x:v>0</x:v>
      </x:c>
      <x:c r="M24" s="42" t="b">
        <x:v>0</x:v>
      </x:c>
      <x:c r="N24" s="42" t="b">
        <x:v>1</x:v>
      </x:c>
      <x:c r="O24" t="str">
        <x:v>Binding Wire</x:v>
      </x:c>
      <x:c r="P24" t="str">
        <x:v>direct</x:v>
      </x:c>
      <x:c r="Q24" t="n">
        <x:v>0</x:v>
      </x:c>
      <x:c r="R24" s="42" t="b">
        <x:v>0</x:v>
      </x:c>
      <x:c r="S24" s="42" t="b">
        <x:v>0</x:v>
      </x:c>
      <x:c r="T24" s="42" t="b">
        <x:v>1</x:v>
      </x:c>
      <x:c r="U24" t="str">
        <x:v>Binding Wire</x:v>
      </x:c>
      <x:c r="V24" t="str">
        <x:v>direct</x:v>
      </x:c>
      <x:c r="W24" t="n">
        <x:v>0</x:v>
      </x:c>
      <x:c r="X24" s="42" t="b">
        <x:v>0</x:v>
      </x:c>
      <x:c r="Y24" s="42" t="b">
        <x:v>0</x:v>
      </x:c>
      <x:c r="Z24" s="42" t="b">
        <x:v>1</x:v>
      </x:c>
      <x:c r="AA24" t="str">
        <x:v>Copper Wire</x:v>
      </x:c>
      <x:c r="AB24" t="str">
        <x:v>proxy</x:v>
      </x:c>
      <x:c r="AC24" t="n">
        <x:v>0</x:v>
      </x:c>
      <x:c r="AD24" s="42" t="b">
        <x:v>1</x:v>
      </x:c>
      <x:c r="AE24" s="42" t="b">
        <x:v>0</x:v>
      </x:c>
      <x:c r="AF24" s="42" t="b">
        <x:v>1</x:v>
      </x:c>
    </x:row>
    <x:row r="25">
      <x:c r="A25" t="str">
        <x:v>B12</x:v>
      </x:c>
      <x:c r="B25" t="str">
        <x:v>Bamboo House</x:v>
      </x:c>
      <x:c r="C25" t="str">
        <x:v>24 Gauge CGI Sheets</x:v>
      </x:c>
      <x:c r="D25" t="str">
        <x:v>proxy</x:v>
      </x:c>
      <x:c r="E25" t="str">
        <x:v>Corrugated galvanized steel sheet</x:v>
      </x:c>
      <x:c r="F25" t="str">
        <x:v>339b2536-c881-409d-ac71-49ab0d228fe3</x:v>
      </x:c>
      <x:c r="G25" t="n">
        <x:v>0</x:v>
      </x:c>
      <x:c r="H25" t="n">
        <x:v>0</x:v>
      </x:c>
      <x:c r="I25" t="str">
        <x:v>CGI Sheets</x:v>
      </x:c>
      <x:c r="J25" t="str">
        <x:v>proxy</x:v>
      </x:c>
      <x:c r="K25" t="n">
        <x:v>0</x:v>
      </x:c>
      <x:c r="L25" s="42" t="b">
        <x:v>1</x:v>
      </x:c>
      <x:c r="M25" s="42" t="b">
        <x:v>0</x:v>
      </x:c>
      <x:c r="N25" s="42" t="b">
        <x:v>1</x:v>
      </x:c>
      <x:c r="O25" t="str">
        <x:v>24 Gauge CGI Sheets</x:v>
      </x:c>
      <x:c r="P25" t="str">
        <x:v>proxy</x:v>
      </x:c>
      <x:c r="Q25" t="n">
        <x:v>0</x:v>
      </x:c>
      <x:c r="R25" s="42" t="b">
        <x:v>1</x:v>
      </x:c>
      <x:c r="S25" s="42" t="b">
        <x:v>0</x:v>
      </x:c>
      <x:c r="T25" s="42" t="b">
        <x:v>1</x:v>
      </x:c>
      <x:c r="U25" t="str">
        <x:v>24 Gauge CGI Sheets</x:v>
      </x:c>
      <x:c r="V25" t="str">
        <x:v>direct</x:v>
      </x:c>
      <x:c r="W25" t="n">
        <x:v>0</x:v>
      </x:c>
      <x:c r="X25" s="42" t="b">
        <x:v>0</x:v>
      </x:c>
      <x:c r="Y25" s="42" t="b">
        <x:v>0</x:v>
      </x:c>
      <x:c r="Z25" s="42" t="b">
        <x:v>1</x:v>
      </x:c>
      <x:c r="AA25" t="str">
        <x:v>24 Gauge CGI Sheets</x:v>
      </x:c>
      <x:c r="AB25" t="str">
        <x:v>proxy</x:v>
      </x:c>
      <x:c r="AC25" t="n">
        <x:v>0</x:v>
      </x:c>
      <x:c r="AD25" s="42" t="b">
        <x:v>1</x:v>
      </x:c>
      <x:c r="AE25" s="42" t="b">
        <x:v>0</x:v>
      </x:c>
      <x:c r="AF25" s="42" t="b">
        <x:v>1</x:v>
      </x:c>
    </x:row>
    <x:row r="26">
      <x:c r="A26" t="str">
        <x:v>B13</x:v>
      </x:c>
      <x:c r="B26" t="str">
        <x:v>Bamboo House</x:v>
      </x:c>
      <x:c r="C26" t="str">
        <x:v>3mm Commercial Plywood</x:v>
      </x:c>
      <x:c r="D26" t="str">
        <x:v>proxy</x:v>
      </x:c>
      <x:c r="E26" t="str">
        <x:v>Plywood</x:v>
      </x:c>
      <x:c r="F26" t="str">
        <x:v>f7e0f0fd-fb6b-40b5-9300-bddba423e084</x:v>
      </x:c>
      <x:c r="G26" t="n">
        <x:v>0</x:v>
      </x:c>
      <x:c r="H26" t="n">
        <x:v>0</x:v>
      </x:c>
      <x:c r="I26" t="str">
        <x:v>Commercial Plywood</x:v>
      </x:c>
      <x:c r="J26" t="str">
        <x:v>proxy</x:v>
      </x:c>
      <x:c r="K26" t="n">
        <x:v>0</x:v>
      </x:c>
      <x:c r="L26" s="42" t="b">
        <x:v>1</x:v>
      </x:c>
      <x:c r="M26" s="42" t="b">
        <x:v>0</x:v>
      </x:c>
      <x:c r="N26" s="42" t="b">
        <x:v>1</x:v>
      </x:c>
      <x:c r="O26" t="str">
        <x:v>Commercial Plywood</x:v>
      </x:c>
      <x:c r="P26" t="str">
        <x:v>proxy</x:v>
      </x:c>
      <x:c r="Q26" t="n">
        <x:v>0</x:v>
      </x:c>
      <x:c r="R26" s="42" t="b">
        <x:v>1</x:v>
      </x:c>
      <x:c r="S26" s="42" t="b">
        <x:v>0</x:v>
      </x:c>
      <x:c r="T26" s="42" t="b">
        <x:v>1</x:v>
      </x:c>
      <x:c r="U26" t="str">
        <x:v>3mm Commercial Plywood</x:v>
      </x:c>
      <x:c r="V26" t="str">
        <x:v>direct</x:v>
      </x:c>
      <x:c r="W26" t="n">
        <x:v>0</x:v>
      </x:c>
      <x:c r="X26" s="42" t="b">
        <x:v>0</x:v>
      </x:c>
      <x:c r="Y26" s="42" t="b">
        <x:v>0</x:v>
      </x:c>
      <x:c r="Z26" s="42" t="b">
        <x:v>1</x:v>
      </x:c>
      <x:c r="AA26" t="str">
        <x:v>Commercial Plywood</x:v>
      </x:c>
      <x:c r="AB26" t="str">
        <x:v>proxy</x:v>
      </x:c>
      <x:c r="AC26" t="n">
        <x:v>0</x:v>
      </x:c>
      <x:c r="AD26" s="42" t="b">
        <x:v>1</x:v>
      </x:c>
      <x:c r="AE26" s="42" t="b">
        <x:v>0</x:v>
      </x:c>
      <x:c r="AF26" s="42" t="b">
        <x:v>1</x:v>
      </x:c>
    </x:row>
    <x:row r="27">
      <x:c r="A27" t="str">
        <x:v>B14</x:v>
      </x:c>
      <x:c r="B27" t="str">
        <x:v>Bamboo House</x:v>
      </x:c>
      <x:c r="C27" t="str">
        <x:v>Bamboo</x:v>
      </x:c>
      <x:c r="D27" t="str">
        <x:v>review_required</x:v>
      </x:c>
      <x:c r="E27" t="str">
        <x:v>Bamboo</x:v>
      </x:c>
      <x:c r="F27"/>
      <x:c r="G27"/>
      <x:c r="H27"/>
      <x:c r="I27" t="str">
        <x:v>Wood</x:v>
      </x:c>
      <x:c r="J27" t="str">
        <x:v>proxy</x:v>
      </x:c>
      <x:c r="K27"/>
      <x:c r="L27" s="42" t="b">
        <x:v>0</x:v>
      </x:c>
      <x:c r="M27" s="42" t="b">
        <x:v>0</x:v>
      </x:c>
      <x:c r="N27" s="42" t="b">
        <x:v>1</x:v>
      </x:c>
      <x:c r="O27" t="str">
        <x:v>Bamboo</x:v>
      </x:c>
      <x:c r="P27" t="str">
        <x:v>review_required</x:v>
      </x:c>
      <x:c r="Q27"/>
      <x:c r="R27" s="42" t="b">
        <x:v>1</x:v>
      </x:c>
      <x:c r="S27" s="42" t="b">
        <x:v>1</x:v>
      </x:c>
      <x:c r="T27" s="42" t="b">
        <x:v>1</x:v>
      </x:c>
      <x:c r="U27" t="str">
        <x:v>Bamboo</x:v>
      </x:c>
      <x:c r="V27" t="str">
        <x:v>direct</x:v>
      </x:c>
      <x:c r="W27"/>
      <x:c r="X27" s="42" t="b">
        <x:v>0</x:v>
      </x:c>
      <x:c r="Y27" s="42" t="b">
        <x:v>0</x:v>
      </x:c>
      <x:c r="Z27" s="42" t="b">
        <x:v>1</x:v>
      </x:c>
      <x:c r="AA27" t="str">
        <x:v>Bamboo</x:v>
      </x:c>
      <x:c r="AB27" t="str">
        <x:v>proxy</x:v>
      </x:c>
      <x:c r="AC27"/>
      <x:c r="AD27" s="42" t="b">
        <x:v>0</x:v>
      </x:c>
      <x:c r="AE27" s="42" t="b">
        <x:v>0</x:v>
      </x:c>
      <x:c r="AF27" s="42" t="b">
        <x:v>1</x:v>
      </x:c>
    </x:row>
    <x:row r="28">
      <x:c r="A28" t="str">
        <x:v>S01</x:v>
      </x:c>
      <x:c r="B28" t="str">
        <x:v>Stonecrete House</x:v>
      </x:c>
      <x:c r="C28" t="str">
        <x:v>Ordinary Portland Cement (OPC 43-grade)</x:v>
      </x:c>
      <x:c r="D28" t="str">
        <x:v>direct</x:v>
      </x:c>
      <x:c r="E28" t="str">
        <x:v>Cement</x:v>
      </x:c>
      <x:c r="F28" t="str">
        <x:v>600573dd-dfa5-44e5-b458-8727e793ffd7</x:v>
      </x:c>
      <x:c r="G28" t="n">
        <x:v>1</x:v>
      </x:c>
      <x:c r="H28" t="n">
        <x:v>1</x:v>
      </x:c>
      <x:c r="I28" t="str">
        <x:v>Portland cement</x:v>
      </x:c>
      <x:c r="J28" t="str">
        <x:v>direct</x:v>
      </x:c>
      <x:c r="K28" t="n">
        <x:v>1</x:v>
      </x:c>
      <x:c r="L28" s="42" t="b">
        <x:v>1</x:v>
      </x:c>
      <x:c r="M28" s="42" t="b">
        <x:v>0</x:v>
      </x:c>
      <x:c r="N28" s="42" t="b">
        <x:v>1</x:v>
      </x:c>
      <x:c r="O28" t="str">
        <x:v>Ordinary Portland Cement (OPC 43-grade)</x:v>
      </x:c>
      <x:c r="P28" t="str">
        <x:v>direct</x:v>
      </x:c>
      <x:c r="Q28" t="n">
        <x:v>1</x:v>
      </x:c>
      <x:c r="R28" s="42" t="b">
        <x:v>1</x:v>
      </x:c>
      <x:c r="S28" s="42" t="b">
        <x:v>0</x:v>
      </x:c>
      <x:c r="T28" s="42" t="b">
        <x:v>1</x:v>
      </x:c>
      <x:c r="U28" t="str">
        <x:v>Ordinary Portland Cement (OPC 43-grade)</x:v>
      </x:c>
      <x:c r="V28" t="str">
        <x:v>direct</x:v>
      </x:c>
      <x:c r="W28" t="n">
        <x:v>0</x:v>
      </x:c>
      <x:c r="X28" s="42" t="b">
        <x:v>1</x:v>
      </x:c>
      <x:c r="Y28" s="42" t="b">
        <x:v>0</x:v>
      </x:c>
      <x:c r="Z28" s="42" t="b">
        <x:v>1</x:v>
      </x:c>
      <x:c r="AA28" t="str">
        <x:v>Ordinary Portland Cement</x:v>
      </x:c>
      <x:c r="AB28" t="str">
        <x:v>direct</x:v>
      </x:c>
      <x:c r="AC28" t="n">
        <x:v>1</x:v>
      </x:c>
      <x:c r="AD28" s="42" t="b">
        <x:v>1</x:v>
      </x:c>
      <x:c r="AE28" s="42" t="b">
        <x:v>0</x:v>
      </x:c>
      <x:c r="AF28" s="42" t="b">
        <x:v>1</x:v>
      </x:c>
    </x:row>
    <x:row r="29">
      <x:c r="A29" t="str">
        <x:v>S02</x:v>
      </x:c>
      <x:c r="B29" t="str">
        <x:v>Stonecrete House</x:v>
      </x:c>
      <x:c r="C29" t="str">
        <x:v>River Sand (clean, well-graded)</x:v>
      </x:c>
      <x:c r="D29" t="str">
        <x:v>direct</x:v>
      </x:c>
      <x:c r="E29" t="str">
        <x:v>Sand</x:v>
      </x:c>
      <x:c r="F29" t="str">
        <x:v>898618b1-3306-11dd-bd11-0800200c9a66</x:v>
      </x:c>
      <x:c r="G29" t="n">
        <x:v>1</x:v>
      </x:c>
      <x:c r="H29" t="n">
        <x:v>1</x:v>
      </x:c>
      <x:c r="I29" t="str">
        <x:v>silica sand</x:v>
      </x:c>
      <x:c r="J29" t="str">
        <x:v>proxy</x:v>
      </x:c>
      <x:c r="K29" t="n">
        <x:v>1</x:v>
      </x:c>
      <x:c r="L29" s="42" t="b">
        <x:v>0</x:v>
      </x:c>
      <x:c r="M29" s="42" t="b">
        <x:v>0</x:v>
      </x:c>
      <x:c r="N29" s="42" t="b">
        <x:v>1</x:v>
      </x:c>
      <x:c r="O29" t="str">
        <x:v>River Sand</x:v>
      </x:c>
      <x:c r="P29" t="str">
        <x:v>proxy</x:v>
      </x:c>
      <x:c r="Q29" t="n">
        <x:v>1</x:v>
      </x:c>
      <x:c r="R29" s="42" t="b">
        <x:v>0</x:v>
      </x:c>
      <x:c r="S29" s="42" t="b">
        <x:v>0</x:v>
      </x:c>
      <x:c r="T29" s="42" t="b">
        <x:v>1</x:v>
      </x:c>
      <x:c r="U29" t="str">
        <x:v>River Sand (clean, well-graded)</x:v>
      </x:c>
      <x:c r="V29" t="str">
        <x:v>direct</x:v>
      </x:c>
      <x:c r="W29" t="n">
        <x:v>0</x:v>
      </x:c>
      <x:c r="X29" s="42" t="b">
        <x:v>1</x:v>
      </x:c>
      <x:c r="Y29" s="42" t="b">
        <x:v>0</x:v>
      </x:c>
      <x:c r="Z29" s="42" t="b">
        <x:v>1</x:v>
      </x:c>
      <x:c r="AA29" t="str">
        <x:v>River Sand</x:v>
      </x:c>
      <x:c r="AB29" t="str">
        <x:v>proxy</x:v>
      </x:c>
      <x:c r="AC29" t="n">
        <x:v>1</x:v>
      </x:c>
      <x:c r="AD29" s="42" t="b">
        <x:v>0</x:v>
      </x:c>
      <x:c r="AE29" s="42" t="b">
        <x:v>0</x:v>
      </x:c>
      <x:c r="AF29" s="42" t="b">
        <x:v>1</x:v>
      </x:c>
    </x:row>
    <x:row r="30">
      <x:c r="A30" t="str">
        <x:v>S03</x:v>
      </x:c>
      <x:c r="B30" t="str">
        <x:v>Stonecrete House</x:v>
      </x:c>
      <x:c r="C30" t="str">
        <x:v>Natural Gravel</x:v>
      </x:c>
      <x:c r="D30" t="str">
        <x:v>direct</x:v>
      </x:c>
      <x:c r="E30" t="str">
        <x:v>Gravel</x:v>
      </x:c>
      <x:c r="F30" t="str">
        <x:v>898618b2-3306-11dd-bd11-0800200c9a66</x:v>
      </x:c>
      <x:c r="G30" t="n">
        <x:v>1</x:v>
      </x:c>
      <x:c r="H30" t="n">
        <x:v>0</x:v>
      </x:c>
      <x:c r="I30" t="str">
        <x:v>Gravel</x:v>
      </x:c>
      <x:c r="J30" t="str">
        <x:v>proxy</x:v>
      </x:c>
      <x:c r="K30" t="n">
        <x:v>0</x:v>
      </x:c>
      <x:c r="L30" s="42" t="b">
        <x:v>0</x:v>
      </x:c>
      <x:c r="M30" s="42" t="b">
        <x:v>0</x:v>
      </x:c>
      <x:c r="N30" s="42" t="b">
        <x:v>1</x:v>
      </x:c>
      <x:c r="O30" t="str">
        <x:v>Natural Gravel</x:v>
      </x:c>
      <x:c r="P30" t="str">
        <x:v>direct</x:v>
      </x:c>
      <x:c r="Q30" t="n">
        <x:v>1</x:v>
      </x:c>
      <x:c r="R30" s="42" t="b">
        <x:v>1</x:v>
      </x:c>
      <x:c r="S30" s="42" t="b">
        <x:v>0</x:v>
      </x:c>
      <x:c r="T30" s="42" t="b">
        <x:v>1</x:v>
      </x:c>
      <x:c r="U30" t="str">
        <x:v>Natural Gravel</x:v>
      </x:c>
      <x:c r="V30" t="str">
        <x:v>direct</x:v>
      </x:c>
      <x:c r="W30" t="n">
        <x:v>0</x:v>
      </x:c>
      <x:c r="X30" s="42" t="b">
        <x:v>1</x:v>
      </x:c>
      <x:c r="Y30" s="42" t="b">
        <x:v>0</x:v>
      </x:c>
      <x:c r="Z30" s="42" t="b">
        <x:v>1</x:v>
      </x:c>
      <x:c r="AA30" t="str">
        <x:v>Natural Gravel</x:v>
      </x:c>
      <x:c r="AB30" t="str">
        <x:v>direct</x:v>
      </x:c>
      <x:c r="AC30" t="n">
        <x:v>1</x:v>
      </x:c>
      <x:c r="AD30" s="42" t="b">
        <x:v>1</x:v>
      </x:c>
      <x:c r="AE30" s="42" t="b">
        <x:v>0</x:v>
      </x:c>
      <x:c r="AF30" s="42" t="b">
        <x:v>1</x:v>
      </x:c>
    </x:row>
    <x:row r="31">
      <x:c r="A31" t="str">
        <x:v>S04</x:v>
      </x:c>
      <x:c r="B31" t="str">
        <x:v>Stonecrete House</x:v>
      </x:c>
      <x:c r="C31" t="str">
        <x:v>Stone</x:v>
      </x:c>
      <x:c r="D31" t="str">
        <x:v>proxy</x:v>
      </x:c>
      <x:c r="E31" t="str">
        <x:v>Stone</x:v>
      </x:c>
      <x:c r="F31" t="str">
        <x:v>898618b3-3306-11dd-bd11-0800200c9a66</x:v>
      </x:c>
      <x:c r="G31" t="n">
        <x:v>1</x:v>
      </x:c>
      <x:c r="H31" t="n">
        <x:v>0</x:v>
      </x:c>
      <x:c r="I31" t="str">
        <x:v>stone</x:v>
      </x:c>
      <x:c r="J31" t="str">
        <x:v>direct</x:v>
      </x:c>
      <x:c r="K31" t="n">
        <x:v>1</x:v>
      </x:c>
      <x:c r="L31" s="42" t="b">
        <x:v>0</x:v>
      </x:c>
      <x:c r="M31" s="42" t="b">
        <x:v>0</x:v>
      </x:c>
      <x:c r="N31" s="42" t="b">
        <x:v>1</x:v>
      </x:c>
      <x:c r="O31" t="str">
        <x:v>Stone</x:v>
      </x:c>
      <x:c r="P31" t="str">
        <x:v>direct</x:v>
      </x:c>
      <x:c r="Q31" t="n">
        <x:v>1</x:v>
      </x:c>
      <x:c r="R31" s="42" t="b">
        <x:v>0</x:v>
      </x:c>
      <x:c r="S31" s="42" t="b">
        <x:v>0</x:v>
      </x:c>
      <x:c r="T31" s="42" t="b">
        <x:v>1</x:v>
      </x:c>
      <x:c r="U31" t="str">
        <x:v>Stone</x:v>
      </x:c>
      <x:c r="V31" t="str">
        <x:v>direct</x:v>
      </x:c>
      <x:c r="W31" t="n">
        <x:v>0</x:v>
      </x:c>
      <x:c r="X31" s="42" t="b">
        <x:v>0</x:v>
      </x:c>
      <x:c r="Y31" s="42" t="b">
        <x:v>0</x:v>
      </x:c>
      <x:c r="Z31" s="42" t="b">
        <x:v>1</x:v>
      </x:c>
      <x:c r="AA31" t="str">
        <x:v>Crushed Stone</x:v>
      </x:c>
      <x:c r="AB31" t="str">
        <x:v>proxy</x:v>
      </x:c>
      <x:c r="AC31" t="n">
        <x:v>1</x:v>
      </x:c>
      <x:c r="AD31" s="42" t="b">
        <x:v>1</x:v>
      </x:c>
      <x:c r="AE31" s="42" t="b">
        <x:v>0</x:v>
      </x:c>
      <x:c r="AF31" s="42" t="b">
        <x:v>1</x:v>
      </x:c>
    </x:row>
    <x:row r="32">
      <x:c r="A32" t="str">
        <x:v>S05</x:v>
      </x:c>
      <x:c r="B32" t="str">
        <x:v>Stonecrete House</x:v>
      </x:c>
      <x:c r="C32" t="str">
        <x:v>Plain Cement Concrete (PCC M10 — 1:3:6) - Binding Layer</x:v>
      </x:c>
      <x:c r="D32" t="str">
        <x:v>proxy</x:v>
      </x:c>
      <x:c r="E32" t="str">
        <x:v>Concrete</x:v>
      </x:c>
      <x:c r="F32" t="str">
        <x:v>898618b0-3306-11dd-bd11-0800200c9a66</x:v>
      </x:c>
      <x:c r="G32" t="n">
        <x:v>1</x:v>
      </x:c>
      <x:c r="H32" t="n">
        <x:v>1</x:v>
      </x:c>
      <x:c r="I32" t="str">
        <x:v>Plain Cement Concrete</x:v>
      </x:c>
      <x:c r="J32" t="str">
        <x:v>direct</x:v>
      </x:c>
      <x:c r="K32" t="n">
        <x:v>0</x:v>
      </x:c>
      <x:c r="L32" s="42" t="b">
        <x:v>0</x:v>
      </x:c>
      <x:c r="M32" s="42" t="b">
        <x:v>0</x:v>
      </x:c>
      <x:c r="N32" s="42" t="b">
        <x:v>1</x:v>
      </x:c>
      <x:c r="O32" t="str">
        <x:v>Plain Cement Concrete</x:v>
      </x:c>
      <x:c r="P32" t="str">
        <x:v>proxy</x:v>
      </x:c>
      <x:c r="Q32" t="n">
        <x:v>0</x:v>
      </x:c>
      <x:c r="R32" s="42" t="b">
        <x:v>1</x:v>
      </x:c>
      <x:c r="S32" s="42" t="b">
        <x:v>0</x:v>
      </x:c>
      <x:c r="T32" s="42" t="b">
        <x:v>1</x:v>
      </x:c>
      <x:c r="U32" t="str">
        <x:v>Plain Cement Concrete (PCC)</x:v>
      </x:c>
      <x:c r="V32" t="str">
        <x:v>direct</x:v>
      </x:c>
      <x:c r="W32" t="n">
        <x:v>0</x:v>
      </x:c>
      <x:c r="X32" s="42" t="b">
        <x:v>0</x:v>
      </x:c>
      <x:c r="Y32" s="42" t="b">
        <x:v>0</x:v>
      </x:c>
      <x:c r="Z32" s="42" t="b">
        <x:v>1</x:v>
      </x:c>
      <x:c r="AA32" t="str">
        <x:v>Plain Cement Concrete (PCC M10 — 1:3:6)</x:v>
      </x:c>
      <x:c r="AB32" t="str">
        <x:v>proxy</x:v>
      </x:c>
      <x:c r="AC32" t="n">
        <x:v>0</x:v>
      </x:c>
      <x:c r="AD32" s="42" t="b">
        <x:v>1</x:v>
      </x:c>
      <x:c r="AE32" s="42" t="b">
        <x:v>0</x:v>
      </x:c>
      <x:c r="AF32" s="42" t="b">
        <x:v>1</x:v>
      </x:c>
    </x:row>
    <x:row r="33">
      <x:c r="A33" t="str">
        <x:v>S06</x:v>
      </x:c>
      <x:c r="B33" t="str">
        <x:v>Stonecrete House</x:v>
      </x:c>
      <x:c r="C33" t="str">
        <x:v>Stonecrete block</x:v>
      </x:c>
      <x:c r="D33" t="str">
        <x:v>proxy</x:v>
      </x:c>
      <x:c r="E33" t="str">
        <x:v>Stonecrete Block</x:v>
      </x:c>
      <x:c r="F33" t="str">
        <x:v>898618b6-3306-11dd-bd11-0800200c9a66</x:v>
      </x:c>
      <x:c r="G33" t="n">
        <x:v>1</x:v>
      </x:c>
      <x:c r="H33" t="n">
        <x:v>0</x:v>
      </x:c>
      <x:c r="I33" t="str">
        <x:v>concrete block</x:v>
      </x:c>
      <x:c r="J33" t="str">
        <x:v>proxy</x:v>
      </x:c>
      <x:c r="K33" t="n">
        <x:v>0</x:v>
      </x:c>
      <x:c r="L33" s="42" t="b">
        <x:v>1</x:v>
      </x:c>
      <x:c r="M33" s="42" t="b">
        <x:v>0</x:v>
      </x:c>
      <x:c r="N33" s="42" t="b">
        <x:v>1</x:v>
      </x:c>
      <x:c r="O33" t="str">
        <x:v>Stonecrete block</x:v>
      </x:c>
      <x:c r="P33" t="str">
        <x:v>proxy</x:v>
      </x:c>
      <x:c r="Q33" t="n">
        <x:v>1</x:v>
      </x:c>
      <x:c r="R33" s="42" t="b">
        <x:v>1</x:v>
      </x:c>
      <x:c r="S33" s="42" t="b">
        <x:v>1</x:v>
      </x:c>
      <x:c r="T33" s="42" t="b">
        <x:v>1</x:v>
      </x:c>
      <x:c r="U33" t="str">
        <x:v>Aerated concrete block</x:v>
      </x:c>
      <x:c r="V33" t="str">
        <x:v>direct</x:v>
      </x:c>
      <x:c r="W33" t="n">
        <x:v>0</x:v>
      </x:c>
      <x:c r="X33" s="42" t="b">
        <x:v>0</x:v>
      </x:c>
      <x:c r="Y33" s="42" t="b">
        <x:v>0</x:v>
      </x:c>
      <x:c r="Z33" s="42" t="b">
        <x:v>1</x:v>
      </x:c>
      <x:c r="AA33" t="str">
        <x:v>Stonecrete block</x:v>
      </x:c>
      <x:c r="AB33" t="str">
        <x:v>proxy</x:v>
      </x:c>
      <x:c r="AC33" t="n">
        <x:v>1</x:v>
      </x:c>
      <x:c r="AD33" s="42" t="b">
        <x:v>1</x:v>
      </x:c>
      <x:c r="AE33" s="42" t="b">
        <x:v>1</x:v>
      </x:c>
      <x:c r="AF33" s="42" t="b">
        <x:v>1</x:v>
      </x:c>
    </x:row>
    <x:row r="34">
      <x:c r="A34" t="str">
        <x:v>S07</x:v>
      </x:c>
      <x:c r="B34" t="str">
        <x:v>Stonecrete House</x:v>
      </x:c>
      <x:c r="C34" t="str">
        <x:v>Rebar TMT Fe500</x:v>
      </x:c>
      <x:c r="D34" t="str">
        <x:v>direct</x:v>
      </x:c>
      <x:c r="E34" t="str">
        <x:v>Rebar</x:v>
      </x:c>
      <x:c r="F34" t="str">
        <x:v>268a11fb-baf2-4b9e-8867-38bea0e76ef6</x:v>
      </x:c>
      <x:c r="G34" t="n">
        <x:v>1</x:v>
      </x:c>
      <x:c r="H34" t="n">
        <x:v>1</x:v>
      </x:c>
      <x:c r="I34" t="str">
        <x:v>Steel rebar</x:v>
      </x:c>
      <x:c r="J34" t="str">
        <x:v>direct</x:v>
      </x:c>
      <x:c r="K34" t="n">
        <x:v>1</x:v>
      </x:c>
      <x:c r="L34" s="42" t="b">
        <x:v>1</x:v>
      </x:c>
      <x:c r="M34" s="42" t="b">
        <x:v>0</x:v>
      </x:c>
      <x:c r="N34" s="42" t="b">
        <x:v>1</x:v>
      </x:c>
      <x:c r="O34" t="str">
        <x:v>Steel Rebar</x:v>
      </x:c>
      <x:c r="P34" t="str">
        <x:v>direct</x:v>
      </x:c>
      <x:c r="Q34" t="n">
        <x:v>1</x:v>
      </x:c>
      <x:c r="R34" s="42" t="b">
        <x:v>1</x:v>
      </x:c>
      <x:c r="S34" s="42" t="b">
        <x:v>0</x:v>
      </x:c>
      <x:c r="T34" s="42" t="b">
        <x:v>1</x:v>
      </x:c>
      <x:c r="U34" t="str">
        <x:v>Rebar TMT Fe500</x:v>
      </x:c>
      <x:c r="V34" t="str">
        <x:v>direct</x:v>
      </x:c>
      <x:c r="W34" t="n">
        <x:v>0</x:v>
      </x:c>
      <x:c r="X34" s="42" t="b">
        <x:v>1</x:v>
      </x:c>
      <x:c r="Y34" s="42" t="b">
        <x:v>0</x:v>
      </x:c>
      <x:c r="Z34" s="42" t="b">
        <x:v>1</x:v>
      </x:c>
      <x:c r="AA34" t="str">
        <x:v>Rebar TMT Fe500</x:v>
      </x:c>
      <x:c r="AB34" t="str">
        <x:v>direct</x:v>
      </x:c>
      <x:c r="AC34" t="n">
        <x:v>1</x:v>
      </x:c>
      <x:c r="AD34" s="42" t="b">
        <x:v>1</x:v>
      </x:c>
      <x:c r="AE34" s="42" t="b">
        <x:v>0</x:v>
      </x:c>
      <x:c r="AF34" s="42" t="b">
        <x:v>1</x:v>
      </x:c>
    </x:row>
    <x:row r="35">
      <x:c r="A35" t="str">
        <x:v>S08</x:v>
      </x:c>
      <x:c r="B35" t="str">
        <x:v>Stonecrete House</x:v>
      </x:c>
      <x:c r="C35" t="str">
        <x:v>Binding Wire (soft annealed, 18-gauge)</x:v>
      </x:c>
      <x:c r="D35" t="str">
        <x:v>proxy</x:v>
      </x:c>
      <x:c r="E35" t="str">
        <x:v>Steel binding wire</x:v>
      </x:c>
      <x:c r="F35" t="str">
        <x:v>09d61948-238a-40e7-8e1f-afdc0c98f902</x:v>
      </x:c>
      <x:c r="G35" t="n">
        <x:v>0</x:v>
      </x:c>
      <x:c r="H35" t="n">
        <x:v>0</x:v>
      </x:c>
      <x:c r="I35" t="str">
        <x:v>Steel wire</x:v>
      </x:c>
      <x:c r="J35" t="str">
        <x:v>direct</x:v>
      </x:c>
      <x:c r="K35" t="n">
        <x:v>0</x:v>
      </x:c>
      <x:c r="L35" s="42" t="b">
        <x:v>0</x:v>
      </x:c>
      <x:c r="M35" s="42" t="b">
        <x:v>0</x:v>
      </x:c>
      <x:c r="N35" s="42" t="b">
        <x:v>1</x:v>
      </x:c>
      <x:c r="O35" t="str">
        <x:v>Steel Wire</x:v>
      </x:c>
      <x:c r="P35" t="str">
        <x:v>direct</x:v>
      </x:c>
      <x:c r="Q35" t="n">
        <x:v>0</x:v>
      </x:c>
      <x:c r="R35" s="42" t="b">
        <x:v>0</x:v>
      </x:c>
      <x:c r="S35" s="42" t="b">
        <x:v>0</x:v>
      </x:c>
      <x:c r="T35" s="42" t="b">
        <x:v>1</x:v>
      </x:c>
      <x:c r="U35" t="str">
        <x:v>Steel binding wire</x:v>
      </x:c>
      <x:c r="V35" t="str">
        <x:v>direct</x:v>
      </x:c>
      <x:c r="W35" t="n">
        <x:v>0</x:v>
      </x:c>
      <x:c r="X35" s="42" t="b">
        <x:v>0</x:v>
      </x:c>
      <x:c r="Y35" s="42" t="b">
        <x:v>0</x:v>
      </x:c>
      <x:c r="Z35" s="42" t="b">
        <x:v>1</x:v>
      </x:c>
      <x:c r="AA35" t="str">
        <x:v>18-gauge soft annealed binding wire</x:v>
      </x:c>
      <x:c r="AB35" t="str">
        <x:v>proxy</x:v>
      </x:c>
      <x:c r="AC35" t="n">
        <x:v>0</x:v>
      </x:c>
      <x:c r="AD35" s="42" t="b">
        <x:v>1</x:v>
      </x:c>
      <x:c r="AE35" s="42" t="b">
        <x:v>0</x:v>
      </x:c>
      <x:c r="AF35" s="42" t="b">
        <x:v>1</x:v>
      </x:c>
    </x:row>
    <x:row r="36">
      <x:c r="A36" t="str">
        <x:v>S09</x:v>
      </x:c>
      <x:c r="B36" t="str">
        <x:v>Stonecrete House</x:v>
      </x:c>
      <x:c r="C36" t="str">
        <x:v>Corrugated Galvanized Iron (CGI) Sheet, 0.45 mm BMT</x:v>
      </x:c>
      <x:c r="D36" t="str">
        <x:v>proxy</x:v>
      </x:c>
      <x:c r="E36" t="str">
        <x:v>Corrugated galvanized steel sheet</x:v>
      </x:c>
      <x:c r="F36" t="str">
        <x:v>339b2536-c881-409d-ac71-49ab0d228fe3</x:v>
      </x:c>
      <x:c r="G36" t="n">
        <x:v>1</x:v>
      </x:c>
      <x:c r="H36" t="n">
        <x:v>0</x:v>
      </x:c>
      <x:c r="I36" t="str">
        <x:v>Galvanized Steel Sheet</x:v>
      </x:c>
      <x:c r="J36" t="str">
        <x:v>direct</x:v>
      </x:c>
      <x:c r="K36" t="n">
        <x:v>0</x:v>
      </x:c>
      <x:c r="L36" s="42" t="b">
        <x:v>0</x:v>
      </x:c>
      <x:c r="M36" s="42" t="b">
        <x:v>0</x:v>
      </x:c>
      <x:c r="N36" s="42" t="b">
        <x:v>1</x:v>
      </x:c>
      <x:c r="O36" t="str">
        <x:v>Corrugated Galvanized Iron Sheet</x:v>
      </x:c>
      <x:c r="P36" t="str">
        <x:v>proxy</x:v>
      </x:c>
      <x:c r="Q36" t="n">
        <x:v>1</x:v>
      </x:c>
      <x:c r="R36" s="42" t="b">
        <x:v>1</x:v>
      </x:c>
      <x:c r="S36" s="42" t="b">
        <x:v>0</x:v>
      </x:c>
      <x:c r="T36" s="42" t="b">
        <x:v>1</x:v>
      </x:c>
      <x:c r="U36" t="str">
        <x:v>Corrugated Galvanized Iron (CGI) Sheet, 0.45 mm BMT</x:v>
      </x:c>
      <x:c r="V36" t="str">
        <x:v>direct</x:v>
      </x:c>
      <x:c r="W36" t="n">
        <x:v>1</x:v>
      </x:c>
      <x:c r="X36" s="42" t="b">
        <x:v>0</x:v>
      </x:c>
      <x:c r="Y36" s="42" t="b">
        <x:v>0</x:v>
      </x:c>
      <x:c r="Z36" s="42" t="b">
        <x:v>1</x:v>
      </x:c>
      <x:c r="AA36" t="str">
        <x:v>Corrugated Galvanized Iron Sheet</x:v>
      </x:c>
      <x:c r="AB36" t="str">
        <x:v>proxy</x:v>
      </x:c>
      <x:c r="AC36" t="n">
        <x:v>1</x:v>
      </x:c>
      <x:c r="AD36" s="42" t="b">
        <x:v>1</x:v>
      </x:c>
      <x:c r="AE36" s="42" t="b">
        <x:v>0</x:v>
      </x:c>
      <x:c r="AF36" s="42" t="b">
        <x:v>1</x:v>
      </x:c>
    </x:row>
    <x:row r="37">
      <x:c r="A37" t="str">
        <x:v>S10</x:v>
      </x:c>
      <x:c r="B37" t="str">
        <x:v>Stonecrete House</x:v>
      </x:c>
      <x:c r="C37" t="str">
        <x:v>Timber for purlin, rafter, and column post</x:v>
      </x:c>
      <x:c r="D37" t="str">
        <x:v>proxy</x:v>
      </x:c>
      <x:c r="E37" t="str">
        <x:v>Timber</x:v>
      </x:c>
      <x:c r="F37" t="str">
        <x:v>2b61a4d6-bd1d-4ea3-828c-fdbdf5fca1f9</x:v>
      </x:c>
      <x:c r="G37" t="n">
        <x:v>1</x:v>
      </x:c>
      <x:c r="H37" t="n">
        <x:v>0</x:v>
      </x:c>
      <x:c r="I37" t="str">
        <x:v>Timber</x:v>
      </x:c>
      <x:c r="J37" t="str">
        <x:v>direct</x:v>
      </x:c>
      <x:c r="K37" t="n">
        <x:v>1</x:v>
      </x:c>
      <x:c r="L37" s="42" t="b">
        <x:v>0</x:v>
      </x:c>
      <x:c r="M37" s="42" t="b">
        <x:v>0</x:v>
      </x:c>
      <x:c r="N37" s="42" t="b">
        <x:v>1</x:v>
      </x:c>
      <x:c r="O37" t="str">
        <x:v>Timber</x:v>
      </x:c>
      <x:c r="P37" t="str">
        <x:v>proxy</x:v>
      </x:c>
      <x:c r="Q37" t="n">
        <x:v>1</x:v>
      </x:c>
      <x:c r="R37" s="42" t="b">
        <x:v>1</x:v>
      </x:c>
      <x:c r="S37" s="42" t="b">
        <x:v>1</x:v>
      </x:c>
      <x:c r="T37" s="42" t="b">
        <x:v>1</x:v>
      </x:c>
      <x:c r="U37" t="str">
        <x:v>Timber for purlin, rafter, and column post</x:v>
      </x:c>
      <x:c r="V37" t="str">
        <x:v>direct</x:v>
      </x:c>
      <x:c r="W37" t="n">
        <x:v>1</x:v>
      </x:c>
      <x:c r="X37" s="42" t="b">
        <x:v>0</x:v>
      </x:c>
      <x:c r="Y37" s="42" t="b">
        <x:v>0</x:v>
      </x:c>
      <x:c r="Z37" s="42" t="b">
        <x:v>1</x:v>
      </x:c>
      <x:c r="AA37" t="str">
        <x:v>Spruce or Pine Timber</x:v>
      </x:c>
      <x:c r="AB37" t="str">
        <x:v>proxy</x:v>
      </x:c>
      <x:c r="AC37" t="n">
        <x:v>1</x:v>
      </x:c>
      <x:c r="AD37" s="42" t="b">
        <x:v>1</x:v>
      </x:c>
      <x:c r="AE37" s="42" t="b">
        <x:v>0</x:v>
      </x:c>
      <x:c r="AF37" s="42" t="b">
        <x:v>1</x:v>
      </x:c>
    </x:row>
    <x:row r="38">
      <x:c r="A38" t="str">
        <x:v>S11</x:v>
      </x:c>
      <x:c r="B38" t="str">
        <x:v>Stonecrete House</x:v>
      </x:c>
      <x:c r="C38" t="str">
        <x:v>Plaster 1:4 — External Walls, 15 mm thick</x:v>
      </x:c>
      <x:c r="D38" t="str">
        <x:v>review_required</x:v>
      </x:c>
      <x:c r="E38" t="str">
        <x:v>Cement-sand plaster</x:v>
      </x:c>
      <x:c r="F38"/>
      <x:c r="G38"/>
      <x:c r="H38"/>
      <x:c r="I38" t="str">
        <x:v>plaster</x:v>
      </x:c>
      <x:c r="J38" t="str">
        <x:v>direct</x:v>
      </x:c>
      <x:c r="K38"/>
      <x:c r="L38" s="42" t="b">
        <x:v>0</x:v>
      </x:c>
      <x:c r="M38" s="42" t="b">
        <x:v>0</x:v>
      </x:c>
      <x:c r="N38" s="42" t="b">
        <x:v>1</x:v>
      </x:c>
      <x:c r="O38" t="str">
        <x:v>Plaster</x:v>
      </x:c>
      <x:c r="P38" t="str">
        <x:v>direct</x:v>
      </x:c>
      <x:c r="Q38"/>
      <x:c r="R38" s="42" t="b">
        <x:v>0</x:v>
      </x:c>
      <x:c r="S38" s="42" t="b">
        <x:v>0</x:v>
      </x:c>
      <x:c r="T38" s="42" t="b">
        <x:v>1</x:v>
      </x:c>
      <x:c r="U38" t="str">
        <x:v>Plaster 1:4</x:v>
      </x:c>
      <x:c r="V38" t="str">
        <x:v>direct</x:v>
      </x:c>
      <x:c r="W38"/>
      <x:c r="X38" s="42" t="b">
        <x:v>0</x:v>
      </x:c>
      <x:c r="Y38" s="42" t="b">
        <x:v>0</x:v>
      </x:c>
      <x:c r="Z38" s="42" t="b">
        <x:v>1</x:v>
      </x:c>
      <x:c r="AA38" t="str">
        <x:v>Plaster 1:4</x:v>
      </x:c>
      <x:c r="AB38" t="str">
        <x:v>proxy</x:v>
      </x:c>
      <x:c r="AC38"/>
      <x:c r="AD38" s="42" t="b">
        <x:v>0</x:v>
      </x:c>
      <x:c r="AE38" s="42" t="b">
        <x:v>0</x:v>
      </x:c>
      <x:c r="AF38" s="42" t="b">
        <x:v>1</x:v>
      </x:c>
    </x:row>
    <x:row r="39">
      <x:c r="A39" t="str">
        <x:v>S12</x:v>
      </x:c>
      <x:c r="B39" t="str">
        <x:v>Stonecrete House</x:v>
      </x:c>
      <x:c r="C39" t="str">
        <x:v>Plaster 1:6 — Internal Walls, 12 mm thick</x:v>
      </x:c>
      <x:c r="D39" t="str">
        <x:v>review_required</x:v>
      </x:c>
      <x:c r="E39" t="str">
        <x:v>Cement-sand plaster</x:v>
      </x:c>
      <x:c r="F39"/>
      <x:c r="G39"/>
      <x:c r="H39"/>
      <x:c r="I39" t="str">
        <x:v>Plaster</x:v>
      </x:c>
      <x:c r="J39" t="str">
        <x:v>direct</x:v>
      </x:c>
      <x:c r="K39"/>
      <x:c r="L39" s="42" t="b">
        <x:v>0</x:v>
      </x:c>
      <x:c r="M39" s="42" t="b">
        <x:v>0</x:v>
      </x:c>
      <x:c r="N39" s="42" t="b">
        <x:v>1</x:v>
      </x:c>
      <x:c r="O39" t="str">
        <x:v>Plaster</x:v>
      </x:c>
      <x:c r="P39" t="str">
        <x:v>proxy</x:v>
      </x:c>
      <x:c r="Q39"/>
      <x:c r="R39" s="42" t="b">
        <x:v>0</x:v>
      </x:c>
      <x:c r="S39" s="42" t="b">
        <x:v>0</x:v>
      </x:c>
      <x:c r="T39" s="42" t="b">
        <x:v>1</x:v>
      </x:c>
      <x:c r="U39" t="str">
        <x:v>Plaster 1:6 — Internal Walls, 12 mm thick</x:v>
      </x:c>
      <x:c r="V39" t="str">
        <x:v>direct</x:v>
      </x:c>
      <x:c r="W39"/>
      <x:c r="X39" s="42" t="b">
        <x:v>0</x:v>
      </x:c>
      <x:c r="Y39" s="42" t="b">
        <x:v>0</x:v>
      </x:c>
      <x:c r="Z39" s="42" t="b">
        <x:v>1</x:v>
      </x:c>
      <x:c r="AA39" t="str">
        <x:v>Gypsum plaster</x:v>
      </x:c>
      <x:c r="AB39" t="str">
        <x:v>direct</x:v>
      </x:c>
      <x:c r="AC39"/>
      <x:c r="AD39" s="42" t="b">
        <x:v>0</x:v>
      </x:c>
      <x:c r="AE39" s="42" t="b">
        <x:v>0</x:v>
      </x:c>
      <x:c r="AF39" s="42" t="b">
        <x:v>1</x:v>
      </x:c>
    </x:row>
  </x:sheetData>
  <x:mergeCells>
    <x:mergeCell ref="A1:AB1"/>
    <x:mergeCell ref="A2:AB2"/>
  </x:mergeCells>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12" hidden="0" customWidth="1"/>
    <x:col min="3" max="3" width="42" hidden="0" customWidth="1"/>
    <x:col min="4" max="4" width="18" hidden="0" customWidth="1"/>
    <x:col min="5" max="5" width="18" hidden="0" customWidth="1"/>
    <x:col min="6" max="6" width="55" hidden="0" customWidth="1"/>
  </x:cols>
  <x:sheetData>
    <x:row r="1" ht="26" customHeight="1">
      <x:c r="A1" s="4" t="str">
        <x:v>Error Attribution</x:v>
      </x:c>
      <x:c r="B1" s="4"/>
      <x:c r="C1" s="4"/>
      <x:c r="D1" s="4"/>
      <x:c r="E1" s="4"/>
      <x:c r="F1" s="4"/>
      <x:c r="G1" s="4"/>
      <x:c r="H1" s="4"/>
      <x:c r="I1" s="4"/>
      <x:c r="J1" s="4"/>
      <x:c r="K1" s="4"/>
      <x:c r="L1" s="4"/>
    </x:row>
    <x:row r="2" ht="32" customHeight="1">
      <x:c r="A2" s="10" t="str">
        <x:v>Retrieval-limited rows are separated from model-selection errors because the exact expert UUID cannot be selected when it is absent from Top-5.</x:v>
      </x:c>
      <x:c r="B2" s="10"/>
      <x:c r="C2" s="10"/>
      <x:c r="D2" s="10"/>
      <x:c r="E2" s="10"/>
      <x:c r="F2" s="10"/>
      <x:c r="G2" s="10"/>
      <x:c r="H2" s="10"/>
      <x:c r="I2" s="10"/>
      <x:c r="J2" s="10"/>
      <x:c r="K2" s="10"/>
      <x:c r="L2" s="10"/>
    </x:row>
    <x:row r="4">
      <x:c r="A4" s="22" t="str">
        <x:v>Model</x:v>
      </x:c>
      <x:c r="B4" s="22" t="str">
        <x:v>Full reference correct</x:v>
      </x:c>
      <x:c r="C4" s="22" t="str">
        <x:v>Retrieval-limited matched items</x:v>
      </x:c>
      <x:c r="D4" s="22" t="str">
        <x:v>Selection errors with GT available</x:v>
      </x:c>
      <x:c r="E4" s="22" t="str">
        <x:v>Match-type errors</x:v>
      </x:c>
      <x:c r="F4" s="22" t="str">
        <x:v>Normalization mismatches</x:v>
      </x:c>
      <x:c r="G4" s="22" t="str">
        <x:v>Review Required routing misses</x:v>
      </x:c>
    </x:row>
    <x:row r="5">
      <x:c r="A5" t="str">
        <x:v>Llama 3.1 8B</x:v>
      </x:c>
      <x:c r="B5" t="n">
        <x:v>3</x:v>
      </x:c>
      <x:c r="C5" t="n">
        <x:v>7</x:v>
      </x:c>
      <x:c r="D5" t="n">
        <x:v>8</x:v>
      </x:c>
      <x:c r="E5" t="n">
        <x:v>4</x:v>
      </x:c>
      <x:c r="F5" t="n">
        <x:v>22</x:v>
      </x:c>
      <x:c r="G5" t="n">
        <x:v>7</x:v>
      </x:c>
    </x:row>
    <x:row r="6">
      <x:c r="A6" t="str">
        <x:v>Qwen2.5 7B</x:v>
      </x:c>
      <x:c r="B6" t="n">
        <x:v>14</x:v>
      </x:c>
      <x:c r="C6" t="n">
        <x:v>7</x:v>
      </x:c>
      <x:c r="D6" t="n">
        <x:v>2</x:v>
      </x:c>
      <x:c r="E6" t="n">
        <x:v>3</x:v>
      </x:c>
      <x:c r="F6" t="n">
        <x:v>18</x:v>
      </x:c>
      <x:c r="G6" t="n">
        <x:v>3</x:v>
      </x:c>
    </x:row>
    <x:row r="7">
      <x:c r="A7" t="str">
        <x:v>DeepSeek 7B</x:v>
      </x:c>
      <x:c r="B7" t="n">
        <x:v>1</x:v>
      </x:c>
      <x:c r="C7" t="n">
        <x:v>7</x:v>
      </x:c>
      <x:c r="D7" t="n">
        <x:v>16</x:v>
      </x:c>
      <x:c r="E7" t="n">
        <x:v>3</x:v>
      </x:c>
      <x:c r="F7" t="n">
        <x:v>21</x:v>
      </x:c>
      <x:c r="G7" t="n">
        <x:v>7</x:v>
      </x:c>
    </x:row>
    <x:row r="8">
      <x:c r="A8" t="str">
        <x:v>Mistral 7B</x:v>
      </x:c>
      <x:c r="B8" t="n">
        <x:v>3</x:v>
      </x:c>
      <x:c r="C8" t="n">
        <x:v>7</x:v>
      </x:c>
      <x:c r="D8" t="n">
        <x:v>5</x:v>
      </x:c>
      <x:c r="E8" t="n">
        <x:v>7</x:v>
      </x:c>
      <x:c r="F8" t="n">
        <x:v>25</x:v>
      </x:c>
      <x:c r="G8" t="n">
        <x:v>6</x:v>
      </x:c>
    </x:row>
    <x:row r="11">
      <x:c r="A11" s="22" t="str">
        <x:v>Qwen case type</x:v>
      </x:c>
      <x:c r="B11" s="22" t="str">
        <x:v>Sample</x:v>
      </x:c>
      <x:c r="C11" s="22" t="str">
        <x:v>Material</x:v>
      </x:c>
      <x:c r="D11" s="22" t="str">
        <x:v>GT class</x:v>
      </x:c>
      <x:c r="E11" s="22" t="str">
        <x:v>Predicted match</x:v>
      </x:c>
      <x:c r="F11" s="22" t="str">
        <x:v>Comment</x:v>
      </x:c>
    </x:row>
    <x:row r="12">
      <x:c r="A12" s="28" t="str">
        <x:v>Harm: changed correct TF-IDF #1</x:v>
      </x:c>
      <x:c r="B12" s="28" t="str">
        <x:v>S05</x:v>
      </x:c>
      <x:c r="C12" s="28" t="str">
        <x:v>Plain Cement Concrete (PCC M10 — 1:3:6) - Binding Layer</x:v>
      </x:c>
      <x:c r="D12" s="28" t="str">
        <x:v>proxy</x:v>
      </x:c>
      <x:c r="E12" s="28" t="str">
        <x:v>proxy</x:v>
      </x:c>
      <x:c r="F12" s="28" t="str">
        <x:v>TF-IDF was correct, but Qwen selected another process.</x:v>
      </x:c>
    </x:row>
    <x:row r="13">
      <x:c r="A13" s="28" t="str">
        <x:v>Review Required miss</x:v>
      </x:c>
      <x:c r="B13" s="28" t="str">
        <x:v>S11</x:v>
      </x:c>
      <x:c r="C13" s="28" t="str">
        <x:v>Plaster 1:4 — External Walls, 15 mm thick</x:v>
      </x:c>
      <x:c r="D13" s="28" t="str">
        <x:v>review_required</x:v>
      </x:c>
      <x:c r="E13" s="28" t="str">
        <x:v>direct</x:v>
      </x:c>
      <x:c r="F13" s="28" t="str">
        <x:v>Model selected a candidate instead of routing to Review Required.</x:v>
      </x:c>
    </x:row>
    <x:row r="14">
      <x:c r="A14" s="28" t="str">
        <x:v>Review Required miss</x:v>
      </x:c>
      <x:c r="B14" s="28" t="str">
        <x:v>S12</x:v>
      </x:c>
      <x:c r="C14" s="28" t="str">
        <x:v>Plaster 1:6 — Internal Walls, 12 mm thick</x:v>
      </x:c>
      <x:c r="D14" s="28" t="str">
        <x:v>review_required</x:v>
      </x:c>
      <x:c r="E14" s="28" t="str">
        <x:v>proxy</x:v>
      </x:c>
      <x:c r="F14" s="28" t="str">
        <x:v>Model selected a candidate instead of routing to Review Required.</x:v>
      </x:c>
    </x:row>
    <x:row r="15">
      <x:c r="A15" s="28" t="str">
        <x:v>Review Required miss</x:v>
      </x:c>
      <x:c r="B15" s="28" t="str">
        <x:v>A04</x:v>
      </x:c>
      <x:c r="C15" s="28" t="str">
        <x:v>Soil Blocks</x:v>
      </x:c>
      <x:c r="D15" s="28" t="str">
        <x:v>review_required</x:v>
      </x:c>
      <x:c r="E15" s="28" t="str">
        <x:v>proxy</x:v>
      </x:c>
      <x:c r="F15" s="28" t="str">
        <x:v>Model selected a candidate instead of routing to Review Required.</x:v>
      </x:c>
    </x:row>
    <x:row r="16">
      <x:c r="A16" s="28" t="str">
        <x:v>Missed rescue</x:v>
      </x:c>
      <x:c r="B16" s="28" t="str">
        <x:v>A05</x:v>
      </x:c>
      <x:c r="C16" s="28" t="str">
        <x:v>Wood</x:v>
      </x:c>
      <x:c r="D16" s="28" t="str">
        <x:v>proxy</x:v>
      </x:c>
      <x:c r="E16" s="28" t="str">
        <x:v>proxy</x:v>
      </x:c>
      <x:c r="F16" s="28" t="str">
        <x:v>Expert UUID was available at ranks 2–5 but was not selected.</x:v>
      </x:c>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16" hidden="0" customWidth="1"/>
    <x:col min="3" max="3" width="24"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28" hidden="0" customWidth="1"/>
    <x:col min="14" max="14" width="28" hidden="0" customWidth="1"/>
    <x:col min="15" max="15" width="28" hidden="0" customWidth="1"/>
    <x:col min="16" max="16" width="28" hidden="0" customWidth="1"/>
    <x:col min="17" max="17" width="28" hidden="0" customWidth="1"/>
    <x:col min="18" max="18" width="28" hidden="0" customWidth="1"/>
  </x:cols>
  <x:sheetData>
    <x:row r="1" ht="26" customHeight="1">
      <x:c r="A1" s="4" t="str">
        <x:v>Run and Metadata Audit</x:v>
      </x:c>
      <x:c r="B1" s="4"/>
      <x:c r="C1" s="4"/>
      <x:c r="D1" s="4"/>
      <x:c r="E1" s="4"/>
      <x:c r="F1" s="4"/>
      <x:c r="G1" s="4"/>
      <x:c r="H1" s="4"/>
      <x:c r="I1" s="4"/>
      <x:c r="J1" s="4"/>
      <x:c r="K1" s="4"/>
      <x:c r="L1" s="4"/>
      <x:c r="M1" s="4"/>
      <x:c r="N1" s="4"/>
      <x:c r="O1" s="4"/>
      <x:c r="P1" s="4"/>
    </x:row>
    <x:row r="2" ht="32" customHeight="1">
      <x:c r="A2" s="10" t="str">
        <x:v>The eight uploaded benchmark workbooks were identified from internal metadata rather than filename suffixes.</x:v>
      </x:c>
      <x:c r="B2" s="10"/>
      <x:c r="C2" s="10"/>
      <x:c r="D2" s="10"/>
      <x:c r="E2" s="10"/>
      <x:c r="F2" s="10"/>
      <x:c r="G2" s="10"/>
      <x:c r="H2" s="10"/>
      <x:c r="I2" s="10"/>
      <x:c r="J2" s="10"/>
      <x:c r="K2" s="10"/>
      <x:c r="L2" s="10"/>
      <x:c r="M2" s="10"/>
      <x:c r="N2" s="10"/>
      <x:c r="O2" s="10"/>
      <x:c r="P2" s="10"/>
    </x:row>
    <x:row r="4">
      <x:c r="A4" s="68" t="str">
        <x:v>file</x:v>
      </x:c>
      <x:c r="B4" s="68" t="str">
        <x:v>model</x:v>
      </x:c>
      <x:c r="C4" s="68" t="str">
        <x:v>model_name</x:v>
      </x:c>
      <x:c r="D4" s="68" t="str">
        <x:v>script_version</x:v>
      </x:c>
      <x:c r="E4" s="68" t="str">
        <x:v>runs_per_sample</x:v>
      </x:c>
      <x:c r="F4" s="68" t="str">
        <x:v>candidate_pool_size</x:v>
      </x:c>
      <x:c r="G4" s="68" t="str">
        <x:v>top_k</x:v>
      </x:c>
      <x:c r="H4" s="68" t="str">
        <x:v>max_new_tokens</x:v>
      </x:c>
      <x:c r="I4" s="68" t="str">
        <x:v>temperature</x:v>
      </x:c>
      <x:c r="J4" s="68" t="str">
        <x:v>decoding</x:v>
      </x:c>
      <x:c r="K4" s="68" t="str">
        <x:v>quantization</x:v>
      </x:c>
      <x:c r="L4" s="68" t="str">
        <x:v>seed</x:v>
      </x:c>
      <x:c r="M4" s="68" t="str">
        <x:v>catalog_content_sha256</x:v>
      </x:c>
      <x:c r="N4" s="68" t="str">
        <x:v>benchmark_content_sha256</x:v>
      </x:c>
      <x:c r="O4" s="68" t="str">
        <x:v>n_samples</x:v>
      </x:c>
      <x:c r="P4" s="68" t="str">
        <x:v>valid_rate</x:v>
      </x:c>
      <x:c r="Q4" s="68" t="str">
        <x:v>usable_rate</x:v>
      </x:c>
      <x:c r="R4" s="68" t="str">
        <x:v>token_limit_hit_rate</x:v>
      </x:c>
    </x:row>
    <x:row r="5">
      <x:c r="A5" t="str">
        <x:v>benchmark_results(1).xlsx</x:v>
      </x:c>
      <x:c r="B5" t="str">
        <x:v>qwen</x:v>
      </x:c>
      <x:c r="C5" t="str">
        <x:v>Qwen2.5 7B Instruct</x:v>
      </x:c>
      <x:c r="D5" t="str">
        <x:v>2.3.0</x:v>
      </x:c>
      <x:c r="E5" t="n">
        <x:v>1</x:v>
      </x:c>
      <x:c r="F5" t="n">
        <x:v>5</x:v>
      </x:c>
      <x:c r="G5" t="n">
        <x:v>3</x:v>
      </x:c>
      <x:c r="H5" t="n">
        <x:v>256</x:v>
      </x:c>
      <x:c r="I5" t="n">
        <x:v>0</x:v>
      </x:c>
      <x:c r="J5" t="str">
        <x:v>greedy</x:v>
      </x:c>
      <x:c r="K5" t="str">
        <x:v>4-bit NF4</x:v>
      </x:c>
      <x:c r="L5" t="n">
        <x:v>43</x:v>
      </x:c>
      <x:c r="M5" t="str">
        <x:v>ffd076b115f91042921f82130e426da9d29d684b23ff102ef3e185b34c83d5eb</x:v>
      </x:c>
      <x:c r="N5" t="str">
        <x:v>76f972f28c5b63b7d933a4fa09cbea23ce7e5aca56be279118432639ca87e228</x:v>
      </x:c>
      <x:c r="O5" t="n">
        <x:v>12</x:v>
      </x:c>
      <x:c r="P5" t="n">
        <x:v>0.9166666666666666</x:v>
      </x:c>
      <x:c r="Q5" t="n">
        <x:v>0.9166666666666666</x:v>
      </x:c>
      <x:c r="R5" t="n">
        <x:v>0</x:v>
      </x:c>
    </x:row>
    <x:row r="6">
      <x:c r="A6" t="str">
        <x:v>benchmark_results(2).xlsx</x:v>
      </x:c>
      <x:c r="B6" t="str">
        <x:v>mistral</x:v>
      </x:c>
      <x:c r="C6" t="str">
        <x:v>Mistral 7B Instruct v0.3</x:v>
      </x:c>
      <x:c r="D6" t="str">
        <x:v>2.3.0</x:v>
      </x:c>
      <x:c r="E6" t="n">
        <x:v>1</x:v>
      </x:c>
      <x:c r="F6" t="n">
        <x:v>5</x:v>
      </x:c>
      <x:c r="G6" t="n">
        <x:v>3</x:v>
      </x:c>
      <x:c r="H6" t="n">
        <x:v>256</x:v>
      </x:c>
      <x:c r="I6" t="n">
        <x:v>0</x:v>
      </x:c>
      <x:c r="J6" t="str">
        <x:v>greedy</x:v>
      </x:c>
      <x:c r="K6" t="str">
        <x:v>4-bit NF4</x:v>
      </x:c>
      <x:c r="L6" t="n">
        <x:v>43</x:v>
      </x:c>
      <x:c r="M6" t="str">
        <x:v>ffd076b115f91042921f82130e426da9d29d684b23ff102ef3e185b34c83d5eb</x:v>
      </x:c>
      <x:c r="N6" t="str">
        <x:v>76f972f28c5b63b7d933a4fa09cbea23ce7e5aca56be279118432639ca87e228</x:v>
      </x:c>
      <x:c r="O6" t="n">
        <x:v>12</x:v>
      </x:c>
      <x:c r="P6" t="n">
        <x:v>0.9166666666666666</x:v>
      </x:c>
      <x:c r="Q6" t="n">
        <x:v>0.9166666666666666</x:v>
      </x:c>
      <x:c r="R6" t="n">
        <x:v>0</x:v>
      </x:c>
    </x:row>
    <x:row r="7">
      <x:c r="A7" t="str">
        <x:v>benchmark_results(3).xlsx</x:v>
      </x:c>
      <x:c r="B7" t="str">
        <x:v>llama</x:v>
      </x:c>
      <x:c r="C7" t="str">
        <x:v>Llama 3.1 8B Instruct</x:v>
      </x:c>
      <x:c r="D7" t="str">
        <x:v>2.3.0</x:v>
      </x:c>
      <x:c r="E7" t="n">
        <x:v>1</x:v>
      </x:c>
      <x:c r="F7" t="n">
        <x:v>5</x:v>
      </x:c>
      <x:c r="G7" t="n">
        <x:v>3</x:v>
      </x:c>
      <x:c r="H7" t="n">
        <x:v>256</x:v>
      </x:c>
      <x:c r="I7" t="n">
        <x:v>0</x:v>
      </x:c>
      <x:c r="J7" t="str">
        <x:v>greedy</x:v>
      </x:c>
      <x:c r="K7" t="str">
        <x:v>4-bit NF4</x:v>
      </x:c>
      <x:c r="L7" t="n">
        <x:v>43</x:v>
      </x:c>
      <x:c r="M7" t="str">
        <x:v>ffd076b115f91042921f82130e426da9d29d684b23ff102ef3e185b34c83d5eb</x:v>
      </x:c>
      <x:c r="N7" t="str">
        <x:v>76f972f28c5b63b7d933a4fa09cbea23ce7e5aca56be279118432639ca87e228</x:v>
      </x:c>
      <x:c r="O7" t="n">
        <x:v>12</x:v>
      </x:c>
      <x:c r="P7" t="n">
        <x:v>1</x:v>
      </x:c>
      <x:c r="Q7" t="n">
        <x:v>1</x:v>
      </x:c>
      <x:c r="R7" t="n">
        <x:v>0</x:v>
      </x:c>
    </x:row>
    <x:row r="8">
      <x:c r="A8" t="str">
        <x:v>benchmark_results(4).xlsx</x:v>
      </x:c>
      <x:c r="B8" t="str">
        <x:v>deepseek</x:v>
      </x:c>
      <x:c r="C8" t="str">
        <x:v>DeepSeek LLM 7B Chat</x:v>
      </x:c>
      <x:c r="D8" t="str">
        <x:v>2.3.0</x:v>
      </x:c>
      <x:c r="E8" t="n">
        <x:v>1</x:v>
      </x:c>
      <x:c r="F8" t="n">
        <x:v>5</x:v>
      </x:c>
      <x:c r="G8" t="n">
        <x:v>3</x:v>
      </x:c>
      <x:c r="H8" t="n">
        <x:v>256</x:v>
      </x:c>
      <x:c r="I8" t="n">
        <x:v>0</x:v>
      </x:c>
      <x:c r="J8" t="str">
        <x:v>greedy</x:v>
      </x:c>
      <x:c r="K8" t="str">
        <x:v>4-bit NF4</x:v>
      </x:c>
      <x:c r="L8" t="n">
        <x:v>43</x:v>
      </x:c>
      <x:c r="M8" t="str">
        <x:v>ffd076b115f91042921f82130e426da9d29d684b23ff102ef3e185b34c83d5eb</x:v>
      </x:c>
      <x:c r="N8" t="str">
        <x:v>76f972f28c5b63b7d933a4fa09cbea23ce7e5aca56be279118432639ca87e228</x:v>
      </x:c>
      <x:c r="O8" t="n">
        <x:v>12</x:v>
      </x:c>
      <x:c r="P8" t="n">
        <x:v>0.9166666666666666</x:v>
      </x:c>
      <x:c r="Q8" t="n">
        <x:v>0.9166666666666666</x:v>
      </x:c>
      <x:c r="R8" t="n">
        <x:v>0</x:v>
      </x:c>
    </x:row>
    <x:row r="9">
      <x:c r="A9" t="str">
        <x:v>benchmark_results(5).xlsx</x:v>
      </x:c>
      <x:c r="B9" t="str">
        <x:v>qwen</x:v>
      </x:c>
      <x:c r="C9" t="str">
        <x:v>Qwen2.5 7B Instruct</x:v>
      </x:c>
      <x:c r="D9" t="str">
        <x:v>2.3.0</x:v>
      </x:c>
      <x:c r="E9" t="n">
        <x:v>1</x:v>
      </x:c>
      <x:c r="F9" t="n">
        <x:v>5</x:v>
      </x:c>
      <x:c r="G9" t="n">
        <x:v>3</x:v>
      </x:c>
      <x:c r="H9" t="n">
        <x:v>256</x:v>
      </x:c>
      <x:c r="I9" t="n">
        <x:v>0</x:v>
      </x:c>
      <x:c r="J9" t="str">
        <x:v>greedy</x:v>
      </x:c>
      <x:c r="K9" t="str">
        <x:v>4-bit NF4</x:v>
      </x:c>
      <x:c r="L9" t="n">
        <x:v>42</x:v>
      </x:c>
      <x:c r="M9" t="str">
        <x:v>ffd076b115f91042921f82130e426da9d29d684b23ff102ef3e185b34c83d5eb</x:v>
      </x:c>
      <x:c r="N9" t="str">
        <x:v>b7d75d42b667ee3c85196f205b7aabfc9327644a561f4abb77c74df48c5b8ead</x:v>
      </x:c>
      <x:c r="O9" t="n">
        <x:v>35</x:v>
      </x:c>
      <x:c r="P9" t="n">
        <x:v>0.9714285714285714</x:v>
      </x:c>
      <x:c r="Q9" t="n">
        <x:v>0.9714285714285714</x:v>
      </x:c>
      <x:c r="R9" t="n">
        <x:v>0</x:v>
      </x:c>
    </x:row>
    <x:row r="10">
      <x:c r="A10" t="str">
        <x:v>benchmark_results(6).xlsx</x:v>
      </x:c>
      <x:c r="B10" t="str">
        <x:v>mistral</x:v>
      </x:c>
      <x:c r="C10" t="str">
        <x:v>Mistral 7B Instruct v0.3</x:v>
      </x:c>
      <x:c r="D10" t="str">
        <x:v>2.3.0</x:v>
      </x:c>
      <x:c r="E10" t="n">
        <x:v>1</x:v>
      </x:c>
      <x:c r="F10" t="n">
        <x:v>5</x:v>
      </x:c>
      <x:c r="G10" t="n">
        <x:v>3</x:v>
      </x:c>
      <x:c r="H10" t="n">
        <x:v>256</x:v>
      </x:c>
      <x:c r="I10" t="n">
        <x:v>0</x:v>
      </x:c>
      <x:c r="J10" t="str">
        <x:v>greedy</x:v>
      </x:c>
      <x:c r="K10" t="str">
        <x:v>4-bit NF4</x:v>
      </x:c>
      <x:c r="L10" t="n">
        <x:v>42</x:v>
      </x:c>
      <x:c r="M10" t="str">
        <x:v>ffd076b115f91042921f82130e426da9d29d684b23ff102ef3e185b34c83d5eb</x:v>
      </x:c>
      <x:c r="N10" t="str">
        <x:v>b7d75d42b667ee3c85196f205b7aabfc9327644a561f4abb77c74df48c5b8ead</x:v>
      </x:c>
      <x:c r="O10" t="n">
        <x:v>35</x:v>
      </x:c>
      <x:c r="P10" t="n">
        <x:v>0.9714285714285714</x:v>
      </x:c>
      <x:c r="Q10" t="n">
        <x:v>0.9714285714285714</x:v>
      </x:c>
      <x:c r="R10" t="n">
        <x:v>0</x:v>
      </x:c>
    </x:row>
    <x:row r="11">
      <x:c r="A11" t="str">
        <x:v>benchmark_results(7).xlsx</x:v>
      </x:c>
      <x:c r="B11" t="str">
        <x:v>llama</x:v>
      </x:c>
      <x:c r="C11" t="str">
        <x:v>Llama 3.1 8B Instruct</x:v>
      </x:c>
      <x:c r="D11" t="str">
        <x:v>2.3.0</x:v>
      </x:c>
      <x:c r="E11" t="n">
        <x:v>1</x:v>
      </x:c>
      <x:c r="F11" t="n">
        <x:v>5</x:v>
      </x:c>
      <x:c r="G11" t="n">
        <x:v>3</x:v>
      </x:c>
      <x:c r="H11" t="n">
        <x:v>256</x:v>
      </x:c>
      <x:c r="I11" t="n">
        <x:v>0</x:v>
      </x:c>
      <x:c r="J11" t="str">
        <x:v>greedy</x:v>
      </x:c>
      <x:c r="K11" t="str">
        <x:v>4-bit NF4</x:v>
      </x:c>
      <x:c r="L11" t="n">
        <x:v>42</x:v>
      </x:c>
      <x:c r="M11" t="str">
        <x:v>ffd076b115f91042921f82130e426da9d29d684b23ff102ef3e185b34c83d5eb</x:v>
      </x:c>
      <x:c r="N11" t="str">
        <x:v>b7d75d42b667ee3c85196f205b7aabfc9327644a561f4abb77c74df48c5b8ead</x:v>
      </x:c>
      <x:c r="O11" t="n">
        <x:v>35</x:v>
      </x:c>
      <x:c r="P11" t="n">
        <x:v>1</x:v>
      </x:c>
      <x:c r="Q11" t="n">
        <x:v>1</x:v>
      </x:c>
      <x:c r="R11" t="n">
        <x:v>0</x:v>
      </x:c>
    </x:row>
    <x:row r="12">
      <x:c r="A12" t="str">
        <x:v>benchmark_results(8).xlsx</x:v>
      </x:c>
      <x:c r="B12" t="str">
        <x:v>deepseek</x:v>
      </x:c>
      <x:c r="C12" t="str">
        <x:v>DeepSeek LLM 7B Chat</x:v>
      </x:c>
      <x:c r="D12" t="str">
        <x:v>2.3.0</x:v>
      </x:c>
      <x:c r="E12" t="n">
        <x:v>1</x:v>
      </x:c>
      <x:c r="F12" t="n">
        <x:v>5</x:v>
      </x:c>
      <x:c r="G12" t="n">
        <x:v>3</x:v>
      </x:c>
      <x:c r="H12" t="n">
        <x:v>256</x:v>
      </x:c>
      <x:c r="I12" t="n">
        <x:v>0</x:v>
      </x:c>
      <x:c r="J12" t="str">
        <x:v>greedy</x:v>
      </x:c>
      <x:c r="K12" t="str">
        <x:v>4-bit NF4</x:v>
      </x:c>
      <x:c r="L12" t="n">
        <x:v>42</x:v>
      </x:c>
      <x:c r="M12" t="str">
        <x:v>ffd076b115f91042921f82130e426da9d29d684b23ff102ef3e185b34c83d5eb</x:v>
      </x:c>
      <x:c r="N12" t="str">
        <x:v>b7d75d42b667ee3c85196f205b7aabfc9327644a561f4abb77c74df48c5b8ead</x:v>
      </x:c>
      <x:c r="O12" t="n">
        <x:v>35</x:v>
      </x:c>
      <x:c r="P12" t="n">
        <x:v>0.9142857142857143</x:v>
      </x:c>
      <x:c r="Q12" t="n">
        <x:v>0.9142857142857143</x:v>
      </x:c>
      <x:c r="R12" t="n">
        <x:v>0</x:v>
      </x:c>
    </x:row>
    <x:row r="15">
      <x:c r="A15" s="60" t="str">
        <x:v>Audit result: all four main files use script v2.3.0, seed 42, candidate pool 5, Top-3 output, 256 max new tokens, temperature 0, greedy decoding, 4-bit NF4, one identical catalog content hash, and one identical 35-item benchmark content hash. All four repeatability files use the same configuration with seed 43, the same catalog content hash, and one common 12-item subset hash. No model hit the generation-token limit.</x:v>
      </x:c>
      <x:c r="B15" s="60"/>
      <x:c r="C15" s="60"/>
      <x:c r="D15" s="60"/>
      <x:c r="E15" s="60"/>
      <x:c r="F15" s="60"/>
      <x:c r="G15" s="60"/>
      <x:c r="H15" s="60"/>
      <x:c r="I15" s="60"/>
      <x:c r="J15" s="60"/>
      <x:c r="K15" s="60"/>
      <x:c r="L15" s="60"/>
      <x:c r="M15" s="60"/>
      <x:c r="N15" s="60"/>
      <x:c r="O15" s="60"/>
      <x:c r="P15" s="60"/>
    </x:row>
    <x:row r="16">
      <x:c r="A16" s="60"/>
      <x:c r="B16" s="60"/>
      <x:c r="C16" s="60"/>
      <x:c r="D16" s="60"/>
      <x:c r="E16" s="60"/>
      <x:c r="F16" s="60"/>
      <x:c r="G16" s="60"/>
      <x:c r="H16" s="60"/>
      <x:c r="I16" s="60"/>
      <x:c r="J16" s="60"/>
      <x:c r="K16" s="60"/>
      <x:c r="L16" s="60"/>
      <x:c r="M16" s="60"/>
      <x:c r="N16" s="60"/>
      <x:c r="O16" s="60"/>
      <x:c r="P16" s="60"/>
    </x:row>
    <x:row r="17">
      <x:c r="A17" s="60"/>
      <x:c r="B17" s="60"/>
      <x:c r="C17" s="60"/>
      <x:c r="D17" s="60"/>
      <x:c r="E17" s="60"/>
      <x:c r="F17" s="60"/>
      <x:c r="G17" s="60"/>
      <x:c r="H17" s="60"/>
      <x:c r="I17" s="60"/>
      <x:c r="J17" s="60"/>
      <x:c r="K17" s="60"/>
      <x:c r="L17" s="60"/>
      <x:c r="M17" s="60"/>
      <x:c r="N17" s="60"/>
      <x:c r="O17" s="60"/>
      <x:c r="P17" s="60"/>
    </x:row>
    <x:row r="18">
      <x:c r="A18" s="60"/>
      <x:c r="B18" s="60"/>
      <x:c r="C18" s="60"/>
      <x:c r="D18" s="60"/>
      <x:c r="E18" s="60"/>
      <x:c r="F18" s="60"/>
      <x:c r="G18" s="60"/>
      <x:c r="H18" s="60"/>
      <x:c r="I18" s="60"/>
      <x:c r="J18" s="60"/>
      <x:c r="K18" s="60"/>
      <x:c r="L18" s="60"/>
      <x:c r="M18" s="60"/>
      <x:c r="N18" s="60"/>
      <x:c r="O18" s="60"/>
      <x:c r="P18" s="60"/>
    </x:row>
    <x:row r="19">
      <x:c r="A19" s="60"/>
      <x:c r="B19" s="60"/>
      <x:c r="C19" s="60"/>
      <x:c r="D19" s="60"/>
      <x:c r="E19" s="60"/>
      <x:c r="F19" s="60"/>
      <x:c r="G19" s="60"/>
      <x:c r="H19" s="60"/>
      <x:c r="I19" s="60"/>
      <x:c r="J19" s="60"/>
      <x:c r="K19" s="60"/>
      <x:c r="L19" s="60"/>
      <x:c r="M19" s="60"/>
      <x:c r="N19" s="60"/>
      <x:c r="O19" s="60"/>
      <x:c r="P19" s="60"/>
    </x:row>
  </x:sheetData>
  <x:mergeCells>
    <x:mergeCell ref="A1:P1"/>
    <x:mergeCell ref="A2:P2"/>
    <x:mergeCell ref="A15:P19"/>
  </x:mergeCells>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55" hidden="0" customWidth="1"/>
    <x:col min="3" max="3" width="34" hidden="0" customWidth="1"/>
    <x:col min="4" max="4" width="55" hidden="0" customWidth="1"/>
  </x:cols>
  <x:sheetData>
    <x:row r="1" ht="26" customHeight="1">
      <x:c r="A1" s="4" t="str">
        <x:v>Calculation Guide</x:v>
      </x:c>
      <x:c r="B1" s="4"/>
      <x:c r="C1" s="4"/>
      <x:c r="D1" s="4"/>
      <x:c r="E1" s="4"/>
      <x:c r="F1" s="4"/>
      <x:c r="G1" s="4"/>
      <x:c r="H1" s="4"/>
    </x:row>
    <x:row r="2" ht="32" customHeight="1">
      <x:c r="A2" s="10" t="str">
        <x:v>Definitions and equations used in the workbook and recommended manuscript reporting.</x:v>
      </x:c>
      <x:c r="B2" s="10"/>
      <x:c r="C2" s="10"/>
      <x:c r="D2" s="10"/>
      <x:c r="E2" s="10"/>
      <x:c r="F2" s="10"/>
      <x:c r="G2" s="10"/>
      <x:c r="H2" s="10"/>
    </x:row>
    <x:row r="4">
      <x:c r="A4" s="22" t="str">
        <x:v>Metric</x:v>
      </x:c>
      <x:c r="B4" s="22" t="str">
        <x:v>Equation / definition</x:v>
      </x:c>
      <x:c r="C4" s="22" t="str">
        <x:v>Current benchmark value or denominator</x:v>
      </x:c>
      <x:c r="D4" s="22" t="str">
        <x:v>Why it matters</x:v>
      </x:c>
    </x:row>
    <x:row r="5">
      <x:c r="A5" s="28" t="str">
        <x:v>Reference distribution</x:v>
      </x:c>
      <x:c r="B5" s="28" t="str">
        <x:v>13 Direct + 15 Proxy + 7 Review Required</x:v>
      </x:c>
      <x:c r="C5" s="28" t="str">
        <x:v>35 total</x:v>
      </x:c>
      <x:c r="D5" s="28" t="str">
        <x:v>Defines the expert-labelled evaluation set.</x:v>
      </x:c>
    </x:row>
    <x:row r="6">
      <x:c r="A6" s="28" t="str">
        <x:v>Matched-process denominator</x:v>
      </x:c>
      <x:c r="B6" s="28" t="str">
        <x:v>Direct + Proxy</x:v>
      </x:c>
      <x:c r="C6" s="28" t="str">
        <x:v>28</x:v>
      </x:c>
      <x:c r="D6" s="28" t="str">
        <x:v>Only these rows have an expert process UUID.</x:v>
      </x:c>
    </x:row>
    <x:row r="7">
      <x:c r="A7" s="28" t="str">
        <x:v>Top-5 candidate recall</x:v>
      </x:c>
      <x:c r="B7" s="28" t="str">
        <x:v>Expert UUID in Top-5 / 28</x:v>
      </x:c>
      <x:c r="C7" s="28" t="str">
        <x:v>21/28 = 75.0%</x:v>
      </x:c>
      <x:c r="D7" s="28" t="str">
        <x:v>Measures deterministic retrieval, not LLM quality.</x:v>
      </x:c>
    </x:row>
    <x:row r="8">
      <x:c r="A8" s="28" t="str">
        <x:v>TF-IDF Top-1 baseline</x:v>
      </x:c>
      <x:c r="B8" s="28" t="str">
        <x:v>Expert UUID is TF-IDF #1 / 28</x:v>
      </x:c>
      <x:c r="C8" s="28" t="str">
        <x:v>11/28 = 39.3%</x:v>
      </x:c>
      <x:c r="D8" s="28" t="str">
        <x:v>Non-LLM exact-selection baseline.</x:v>
      </x:c>
    </x:row>
    <x:row r="9">
      <x:c r="A9" s="28" t="str">
        <x:v>Exact-selection ceiling</x:v>
      </x:c>
      <x:c r="B9" s="28" t="str">
        <x:v>Top-5 recoverable / 28</x:v>
      </x:c>
      <x:c r="C9" s="28" t="str">
        <x:v>21/28 = 75.0%</x:v>
      </x:c>
      <x:c r="D9" s="28" t="str">
        <x:v>Exact UUID cannot be selected if retrieval omitted it.</x:v>
      </x:c>
    </x:row>
    <x:row r="10">
      <x:c r="A10" s="28" t="str">
        <x:v>Pipeline full-reference ceiling</x:v>
      </x:c>
      <x:c r="B10" s="28" t="str">
        <x:v>(21 recoverable matched + 7 Review Required) / 35</x:v>
      </x:c>
      <x:c r="C10" s="28" t="str">
        <x:v>28/35 = 80.0%</x:v>
      </x:c>
      <x:c r="D10" s="28" t="str">
        <x:v>Theoretical maximum under the fixed candidate retrieval, assuming perfect normalization/classification.</x:v>
      </x:c>
    </x:row>
    <x:row r="11">
      <x:c r="A11" s="28" t="str">
        <x:v>Overall process selection</x:v>
      </x:c>
      <x:c r="B11" s="28" t="str">
        <x:v>Correct expert UUID / 28</x:v>
      </x:c>
      <x:c r="C11" s="28" t="str">
        <x:v>Model-specific</x:v>
      </x:c>
      <x:c r="D11" s="28" t="str">
        <x:v>Measures the complete retrieval + LLM selection pipeline.</x:v>
      </x:c>
    </x:row>
    <x:row r="12">
      <x:c r="A12" s="28" t="str">
        <x:v>Conditional process selection</x:v>
      </x:c>
      <x:c r="B12" s="28" t="str">
        <x:v>Correct expert UUID / 21 recoverable matched rows</x:v>
      </x:c>
      <x:c r="C12" s="28" t="str">
        <x:v>Model-specific</x:v>
      </x:c>
      <x:c r="D12" s="28" t="str">
        <x:v>Isolates LLM selection when the correct process is actually available.</x:v>
      </x:c>
    </x:row>
    <x:row r="13">
      <x:c r="A13" s="28" t="str">
        <x:v>TF-IDF preservation</x:v>
      </x:c>
      <x:c r="B13" s="28" t="str">
        <x:v>Correct LLM selection among the 11 TF-IDF Top-1-correct rows</x:v>
      </x:c>
      <x:c r="C13" s="28" t="str">
        <x:v>11 opportunities</x:v>
      </x:c>
      <x:c r="D13" s="28" t="str">
        <x:v>Tests whether LLM damages already-correct retrieval.</x:v>
      </x:c>
    </x:row>
    <x:row r="14">
      <x:c r="A14" s="28" t="str">
        <x:v>Reranking rescue</x:v>
      </x:c>
      <x:c r="B14" s="28" t="str">
        <x:v>Correct LLM selection among the 10 Top-5-but-not-Top-1 rows</x:v>
      </x:c>
      <x:c r="C14" s="28" t="str">
        <x:v>10 opportunities</x:v>
      </x:c>
      <x:c r="D14" s="28" t="str">
        <x:v>Direct evidence of semantic reranking value.</x:v>
      </x:c>
    </x:row>
    <x:row r="15">
      <x:c r="A15" s="28" t="str">
        <x:v>Net improvement</x:v>
      </x:c>
      <x:c r="B15" s="28" t="str">
        <x:v>LLM overall selection − 39.3%</x:v>
      </x:c>
      <x:c r="C15" s="28" t="str">
        <x:v>Percentage points</x:v>
      </x:c>
      <x:c r="D15" s="28" t="str">
        <x:v>Simple effect size against deterministic baseline.</x:v>
      </x:c>
    </x:row>
    <x:row r="16">
      <x:c r="A16" s="28" t="str">
        <x:v>Normalization exact</x:v>
      </x:c>
      <x:c r="B16" s="28" t="str">
        <x:v>Exact normalized material / 35</x:v>
      </x:c>
      <x:c r="C16" s="28" t="str">
        <x:v>Model-specific</x:v>
      </x:c>
      <x:c r="D16" s="28" t="str">
        <x:v>Strict label agreement; text similarity is also reported because exact wording can be harsh.</x:v>
      </x:c>
    </x:row>
    <x:row r="17">
      <x:c r="A17" s="28" t="str">
        <x:v>Review Required precision</x:v>
      </x:c>
      <x:c r="B17" s="28" t="str">
        <x:v>TP / (TP + FP)</x:v>
      </x:c>
      <x:c r="C17" s="28" t="str">
        <x:v>7 positive reference cases</x:v>
      </x:c>
      <x:c r="D17" s="28" t="str">
        <x:v>How trustworthy a Review Required prediction is.</x:v>
      </x:c>
    </x:row>
    <x:row r="18">
      <x:c r="A18" s="28" t="str">
        <x:v>Review Required recall</x:v>
      </x:c>
      <x:c r="B18" s="28" t="str">
        <x:v>TP / (TP + FN)</x:v>
      </x:c>
      <x:c r="C18" s="28" t="str">
        <x:v>7 positive reference cases</x:v>
      </x:c>
      <x:c r="D18" s="28" t="str">
        <x:v>How many expert-unmatched materials the model detects.</x:v>
      </x:c>
    </x:row>
    <x:row r="19">
      <x:c r="A19" s="28" t="str">
        <x:v>Review Required F1</x:v>
      </x:c>
      <x:c r="B19" s="28" t="str">
        <x:v>2PR / (P + R)</x:v>
      </x:c>
      <x:c r="C19" s="28" t="str">
        <x:v>Model-specific</x:v>
      </x:c>
      <x:c r="D19" s="28" t="str">
        <x:v>Balances precision and recall under class imbalance.</x:v>
      </x:c>
    </x:row>
    <x:row r="20">
      <x:c r="A20" s="28" t="str">
        <x:v>Full-reference accuracy</x:v>
      </x:c>
      <x:c r="B20" s="28" t="str">
        <x:v>Correct normalization AND correct final process/review routing AND correct match type / 35</x:v>
      </x:c>
      <x:c r="C20" s="28" t="str">
        <x:v>Model-specific</x:v>
      </x:c>
      <x:c r="D20" s="28" t="str">
        <x:v>Most demanding integrated task measure.</x:v>
      </x:c>
    </x:row>
    <x:row r="21">
      <x:c r="A21" s="28" t="str">
        <x:v>Fully valid + full-reference</x:v>
      </x:c>
      <x:c r="B21" s="28" t="str">
        <x:v>Full-reference correct AND structured-output valid / 35</x:v>
      </x:c>
      <x:c r="C21" s="28" t="str">
        <x:v>Sensitivity check</x:v>
      </x:c>
      <x:c r="D21" s="28" t="str">
        <x:v>Ensures a correct field combination is not masking an invalid overall response.</x:v>
      </x:c>
    </x:row>
    <x:row r="22">
      <x:c r="A22" s="28" t="str">
        <x:v>Strict repeatability</x:v>
      </x:c>
      <x:c r="B22" s="28" t="str">
        <x:v>Both runs valid AND normalization/process-or-review/match type agree / 12</x:v>
      </x:c>
      <x:c r="C22" s="28" t="str">
        <x:v>Fixed balanced subset</x:v>
      </x:c>
      <x:c r="D22" s="28" t="str">
        <x:v>Repeated invalid outputs are not rewarded.</x:v>
      </x:c>
    </x:row>
    <x:row r="23">
      <x:c r="A23" s="28" t="str">
        <x:v>Wilson 95% CI</x:v>
      </x:c>
      <x:c r="B23" s="28" t="str">
        <x:v>Wilson score interval for a binomial proportion</x:v>
      </x:c>
      <x:c r="C23" s="28" t="str">
        <x:v>Reported for primary rates</x:v>
      </x:c>
      <x:c r="D23" s="28" t="str">
        <x:v>More stable than normal-approximation intervals with small N.</x:v>
      </x:c>
    </x:row>
    <x:row r="24">
      <x:c r="A24" s="28" t="str">
        <x:v>Cochran Q</x:v>
      </x:c>
      <x:c r="B24" s="28" t="str">
        <x:v>Paired omnibus test across 4 binary classifiers</x:v>
      </x:c>
      <x:c r="C24" s="28" t="str">
        <x:v>28 or 35 paired items</x:v>
      </x:c>
      <x:c r="D24" s="28" t="str">
        <x:v>Tests whether any model differs overall.</x:v>
      </x:c>
    </x:row>
    <x:row r="25">
      <x:c r="A25" s="28" t="str">
        <x:v>Exact McNemar</x:v>
      </x:c>
      <x:c r="B25" s="28" t="str">
        <x:v>Paired two-model discordant outcomes</x:v>
      </x:c>
      <x:c r="C25" s="28" t="str">
        <x:v>Holm-adjusted for six pairwise tests</x:v>
      </x:c>
      <x:c r="D25" s="28" t="str">
        <x:v>Tests pairwise differences without treating samples as independent.</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4" hidden="0" customWidth="1"/>
    <x:col min="11" max="11" width="55" hidden="0" customWidth="1"/>
  </x:cols>
  <x:sheetData>
    <x:row r="1" ht="26" customHeight="1">
      <x:c r="A1" s="4" t="str">
        <x:v>Paper-Ready Model Comparison Table</x:v>
      </x:c>
      <x:c r="B1" s="4"/>
      <x:c r="C1" s="4"/>
      <x:c r="D1" s="4"/>
      <x:c r="E1" s="4"/>
      <x:c r="F1" s="4"/>
      <x:c r="G1" s="4"/>
      <x:c r="H1" s="4"/>
      <x:c r="I1" s="4"/>
      <x:c r="J1" s="4"/>
      <x:c r="K1" s="4"/>
      <x:c r="L1" s="4"/>
    </x:row>
    <x:row r="2" ht="32" customHeight="1">
      <x:c r="A2" s="10" t="str">
        <x:v>Recommended compact table for the main manuscript. A fuller metric table can be placed in supplementary material.</x:v>
      </x:c>
      <x:c r="B2" s="10"/>
      <x:c r="C2" s="10"/>
      <x:c r="D2" s="10"/>
      <x:c r="E2" s="10"/>
      <x:c r="F2" s="10"/>
      <x:c r="G2" s="10"/>
      <x:c r="H2" s="10"/>
      <x:c r="I2" s="10"/>
      <x:c r="J2" s="10"/>
      <x:c r="K2" s="10"/>
      <x:c r="L2" s="10"/>
    </x:row>
    <x:row r="4">
      <x:c r="A4" s="22" t="str">
        <x:v>Model</x:v>
      </x:c>
      <x:c r="B4" s="22" t="str">
        <x:v>Norm. exact</x:v>
      </x:c>
      <x:c r="C4" s="22" t="str">
        <x:v>Exact process</x:v>
      </x:c>
      <x:c r="D4" s="22" t="str">
        <x:v>Conditional process</x:v>
      </x:c>
      <x:c r="E4" s="22" t="str">
        <x:v>Match type</x:v>
      </x:c>
      <x:c r="F4" s="22" t="str">
        <x:v>RR F1</x:v>
      </x:c>
      <x:c r="G4" s="22" t="str">
        <x:v>Full-reference</x:v>
      </x:c>
      <x:c r="H4" s="22" t="str">
        <x:v>Structured valid</x:v>
      </x:c>
      <x:c r="I4" s="22" t="str">
        <x:v>Strict repeatability</x:v>
      </x:c>
      <x:c r="J4" s="22" t="str">
        <x:v>Median time (s)</x:v>
      </x:c>
      <x:c r="K4" s="22" t="str">
        <x:v>Interpretation</x:v>
      </x:c>
    </x:row>
    <x:row r="5">
      <x:c r="A5" t="str">
        <x:v>Llama 3.1 8B</x:v>
      </x:c>
      <x:c r="B5" s="44" t="n">
        <x:v>0.3714285714285714</x:v>
      </x:c>
      <x:c r="C5" s="44" t="n">
        <x:v>0.4642857142857143</x:v>
      </x:c>
      <x:c r="D5" s="44" t="n">
        <x:v>0.6190476190476191</x:v>
      </x:c>
      <x:c r="E5" s="44" t="n">
        <x:v>0.3714285714285714</x:v>
      </x:c>
      <x:c r="F5" s="44" t="n">
        <x:v>0</x:v>
      </x:c>
      <x:c r="G5" s="44" t="n">
        <x:v>0.08571428571428572</x:v>
      </x:c>
      <x:c r="H5" s="44" t="n">
        <x:v>1</x:v>
      </x:c>
      <x:c r="I5" s="44" t="n">
        <x:v>1</x:v>
      </x:c>
      <x:c r="J5" s="46" t="n">
        <x:v>4.420765053999958</x:v>
      </x:c>
      <x:c r="K5" s="28" t="str">
        <x:v>Fastest and fully reliable outputs, but weak Proxy/Review Required classification.</x:v>
      </x:c>
    </x:row>
    <x:row r="6">
      <x:c r="A6" t="str">
        <x:v>Qwen2.5 7B</x:v>
      </x:c>
      <x:c r="B6" s="44" t="n">
        <x:v>0.4857142857142857</x:v>
      </x:c>
      <x:c r="C6" s="44" t="n">
        <x:v>0.6785714285714286</x:v>
      </x:c>
      <x:c r="D6" s="44" t="n">
        <x:v>0.9047619047619048</x:v>
      </x:c>
      <x:c r="E6" s="44" t="n">
        <x:v>0.7714285714285715</x:v>
      </x:c>
      <x:c r="F6" s="44" t="n">
        <x:v>0.7272727272727273</x:v>
      </x:c>
      <x:c r="G6" s="44" t="n">
        <x:v>0.4</x:v>
      </x:c>
      <x:c r="H6" s="44" t="n">
        <x:v>0.9714285714285714</x:v>
      </x:c>
      <x:c r="I6" s="44" t="n">
        <x:v>0.9166666666666666</x:v>
      </x:c>
      <x:c r="J6" s="46" t="n">
        <x:v>4.751639589999968</x:v>
      </x:c>
      <x:c r="K6" s="28" t="str">
        <x:v>Recommended: strongest overall matching, classification, unmatched detection, and full-reference performance.</x:v>
      </x:c>
    </x:row>
    <x:row r="7">
      <x:c r="A7" t="str">
        <x:v>DeepSeek 7B</x:v>
      </x:c>
      <x:c r="B7" s="44" t="n">
        <x:v>0.4</x:v>
      </x:c>
      <x:c r="C7" s="44" t="n">
        <x:v>0.1785714285714286</x:v>
      </x:c>
      <x:c r="D7" s="44" t="n">
        <x:v>0.2380952380952381</x:v>
      </x:c>
      <x:c r="E7" s="44" t="n">
        <x:v>0.3714285714285714</x:v>
      </x:c>
      <x:c r="F7" s="44" t="n">
        <x:v>0</x:v>
      </x:c>
      <x:c r="G7" s="44" t="n">
        <x:v>0.02857142857142857</x:v>
      </x:c>
      <x:c r="H7" s="44" t="n">
        <x:v>0.9142857142857143</x:v>
      </x:c>
      <x:c r="I7" s="44" t="n">
        <x:v>0.9166666666666666</x:v>
      </x:c>
      <x:c r="J7" s="46" t="n">
        <x:v>7.364236909000283</x:v>
      </x:c>
      <x:c r="K7" s="28" t="str">
        <x:v>Lowest process-selection performance and most invalid main outputs.</x:v>
      </x:c>
    </x:row>
    <x:row r="8">
      <x:c r="A8" t="str">
        <x:v>Mistral 7B</x:v>
      </x:c>
      <x:c r="B8" s="44" t="n">
        <x:v>0.2857142857142857</x:v>
      </x:c>
      <x:c r="C8" s="44" t="n">
        <x:v>0.5714285714285714</x:v>
      </x:c>
      <x:c r="D8" s="44" t="n">
        <x:v>0.7619047619047619</x:v>
      </x:c>
      <x:c r="E8" s="44" t="n">
        <x:v>0.5142857142857142</x:v>
      </x:c>
      <x:c r="F8" s="44" t="n">
        <x:v>0.25</x:v>
      </x:c>
      <x:c r="G8" s="44" t="n">
        <x:v>0.08571428571428572</x:v>
      </x:c>
      <x:c r="H8" s="44" t="n">
        <x:v>0.9714285714285714</x:v>
      </x:c>
      <x:c r="I8" s="44" t="n">
        <x:v>0.9166666666666666</x:v>
      </x:c>
      <x:c r="J8" s="46" t="n">
        <x:v>7.577631692000068</x:v>
      </x:c>
      <x:c r="K8" s="28" t="str">
        <x:v>Second strongest exact process matching, but weak Review Required recall and slower inference.</x:v>
      </x:c>
    </x:row>
    <x:row r="11">
      <x:c r="A11" s="60" t="str">
        <x:v>Suggested table note: Candidate retrieval was model-independent (Top-5 recall 75.0%; TF-IDF Top-1 exact baseline 39.3%). Conditional process selection is calculated only for the 21 matched items whose expert UUID appeared in the candidate pool. Full-reference accuracy requires correct material normalization, final process/Review Required outcome, and match type. Strict repeatability requires valid outputs in both runs.</x:v>
      </x:c>
      <x:c r="B11" s="60"/>
      <x:c r="C11" s="60"/>
      <x:c r="D11" s="60"/>
      <x:c r="E11" s="60"/>
      <x:c r="F11" s="60"/>
      <x:c r="G11" s="60"/>
      <x:c r="H11" s="60"/>
      <x:c r="I11" s="60"/>
      <x:c r="J11" s="60"/>
      <x:c r="K11" s="60"/>
    </x:row>
    <x:row r="12">
      <x:c r="A12" s="60"/>
      <x:c r="B12" s="60"/>
      <x:c r="C12" s="60"/>
      <x:c r="D12" s="60"/>
      <x:c r="E12" s="60"/>
      <x:c r="F12" s="60"/>
      <x:c r="G12" s="60"/>
      <x:c r="H12" s="60"/>
      <x:c r="I12" s="60"/>
      <x:c r="J12" s="60"/>
      <x:c r="K12" s="60"/>
    </x:row>
    <x:row r="13">
      <x:c r="A13" s="60"/>
      <x:c r="B13" s="60"/>
      <x:c r="C13" s="60"/>
      <x:c r="D13" s="60"/>
      <x:c r="E13" s="60"/>
      <x:c r="F13" s="60"/>
      <x:c r="G13" s="60"/>
      <x:c r="H13" s="60"/>
      <x:c r="I13" s="60"/>
      <x:c r="J13" s="60"/>
      <x:c r="K13" s="60"/>
    </x:row>
    <x:row r="14">
      <x:c r="A14" s="60"/>
      <x:c r="B14" s="60"/>
      <x:c r="C14" s="60"/>
      <x:c r="D14" s="60"/>
      <x:c r="E14" s="60"/>
      <x:c r="F14" s="60"/>
      <x:c r="G14" s="60"/>
      <x:c r="H14" s="60"/>
      <x:c r="I14" s="60"/>
      <x:c r="J14" s="60"/>
      <x:c r="K14" s="60"/>
    </x:row>
  </x:sheetData>
  <x:mergeCells>
    <x:mergeCell ref="A1:L1"/>
    <x:mergeCell ref="A2:L2"/>
    <x:mergeCell ref="A11:K14"/>
  </x:mergeCells>
  <x:conditionalFormatting sqref="B5:I8">
    <x:cfRule type="colorScale" priority="1">
      <x:colorScale>
        <x:cfvo type="min"/>
        <x:cfvo type="percentile" val="50"/>
        <x:cfvo type="max"/>
        <x:color rgb="FFFCE4D6"/>
        <x:color rgb="FFFFF2CC"/>
        <x:color rgb="FFE2F0D9"/>
      </x:colorScale>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s>
  <x:sheetData>
    <x:row r="1" ht="26" customHeight="1">
      <x:c r="A1" s="4" t="str">
        <x:v>Paper Figures</x:v>
      </x:c>
      <x:c r="B1" s="4"/>
      <x:c r="C1" s="4"/>
      <x:c r="D1" s="4"/>
      <x:c r="E1" s="4"/>
      <x:c r="F1" s="4"/>
      <x:c r="G1" s="4"/>
      <x:c r="H1" s="4"/>
      <x:c r="I1" s="4"/>
      <x:c r="J1" s="4"/>
      <x:c r="K1" s="4"/>
      <x:c r="L1" s="4"/>
      <x:c r="M1" s="4"/>
      <x:c r="N1" s="4"/>
    </x:row>
    <x:row r="2" ht="32" customHeight="1">
      <x:c r="A2" s="10" t="str">
        <x:v>Chart-ready data are linked to the analysis tables. Charts are intended for model-selection Results/Discussion.</x:v>
      </x:c>
      <x:c r="B2" s="10"/>
      <x:c r="C2" s="10"/>
      <x:c r="D2" s="10"/>
      <x:c r="E2" s="10"/>
      <x:c r="F2" s="10"/>
      <x:c r="G2" s="10"/>
      <x:c r="H2" s="10"/>
      <x:c r="I2" s="10"/>
      <x:c r="J2" s="10"/>
      <x:c r="K2" s="10"/>
      <x:c r="L2" s="10"/>
      <x:c r="M2" s="10"/>
      <x:c r="N2" s="10"/>
    </x:row>
    <x:row r="4">
      <x:c r="A4" s="22" t="str">
        <x:v>Method</x:v>
      </x:c>
      <x:c r="B4" s="22" t="str">
        <x:v>Exact process selection</x:v>
      </x:c>
    </x:row>
    <x:row r="5">
      <x:c r="A5" t="str">
        <x:v>TF-IDF Top-1</x:v>
      </x:c>
      <x:c r="B5" s="44" t="n">
        <x:v>0.39285714285714285</x:v>
      </x:c>
    </x:row>
    <x:row r="6">
      <x:c r="A6" t="str">
        <x:v>Llama 3.1 8B</x:v>
      </x:c>
      <x:c r="B6" s="44" t="n">
        <x:v>0.4642857142857143</x:v>
      </x:c>
    </x:row>
    <x:row r="7">
      <x:c r="A7" t="str">
        <x:v>Qwen2.5 7B</x:v>
      </x:c>
      <x:c r="B7" s="44" t="n">
        <x:v>0.6785714285714286</x:v>
      </x:c>
    </x:row>
    <x:row r="8">
      <x:c r="A8" t="str">
        <x:v>DeepSeek 7B</x:v>
      </x:c>
      <x:c r="B8" s="44" t="n">
        <x:v>0.1785714285714286</x:v>
      </x:c>
    </x:row>
    <x:row r="9">
      <x:c r="A9" t="str">
        <x:v>Mistral 7B</x:v>
      </x:c>
      <x:c r="B9" s="44" t="n">
        <x:v>0.5714285714285714</x:v>
      </x:c>
    </x:row>
    <x:row r="23">
      <x:c r="A23" s="22" t="str">
        <x:v>Model</x:v>
      </x:c>
      <x:c r="B23" s="22" t="str">
        <x:v>Conditional process</x:v>
      </x:c>
      <x:c r="C23" s="22" t="str">
        <x:v>Match type</x:v>
      </x:c>
      <x:c r="D23" s="22" t="str">
        <x:v>Review Required F1</x:v>
      </x:c>
      <x:c r="E23" s="22" t="str">
        <x:v>Full-reference</x:v>
      </x:c>
      <x:c r="F23" s="22" t="str">
        <x:v>Structured valid</x:v>
      </x:c>
    </x:row>
    <x:row r="24">
      <x:c r="A24" t="str">
        <x:v>Llama 3.1 8B</x:v>
      </x:c>
      <x:c r="B24" s="44" t="n">
        <x:v>0.6190476190476191</x:v>
      </x:c>
      <x:c r="C24" s="44" t="n">
        <x:v>0.3714285714285714</x:v>
      </x:c>
      <x:c r="D24" s="44" t="n">
        <x:v>0</x:v>
      </x:c>
      <x:c r="E24" s="44" t="n">
        <x:v>0.08571428571428572</x:v>
      </x:c>
      <x:c r="F24" s="44" t="n">
        <x:v>1</x:v>
      </x:c>
    </x:row>
    <x:row r="25">
      <x:c r="A25" t="str">
        <x:v>Qwen2.5 7B</x:v>
      </x:c>
      <x:c r="B25" s="44" t="n">
        <x:v>0.9047619047619048</x:v>
      </x:c>
      <x:c r="C25" s="44" t="n">
        <x:v>0.7714285714285715</x:v>
      </x:c>
      <x:c r="D25" s="44" t="n">
        <x:v>0.7272727272727273</x:v>
      </x:c>
      <x:c r="E25" s="44" t="n">
        <x:v>0.4</x:v>
      </x:c>
      <x:c r="F25" s="44" t="n">
        <x:v>0.9714285714285714</x:v>
      </x:c>
    </x:row>
    <x:row r="26">
      <x:c r="A26" t="str">
        <x:v>DeepSeek 7B</x:v>
      </x:c>
      <x:c r="B26" s="44" t="n">
        <x:v>0.2380952380952381</x:v>
      </x:c>
      <x:c r="C26" s="44" t="n">
        <x:v>0.3714285714285714</x:v>
      </x:c>
      <x:c r="D26" s="44" t="n">
        <x:v>0</x:v>
      </x:c>
      <x:c r="E26" s="44" t="n">
        <x:v>0.02857142857142857</x:v>
      </x:c>
      <x:c r="F26" s="44" t="n">
        <x:v>0.9142857142857143</x:v>
      </x:c>
    </x:row>
    <x:row r="27">
      <x:c r="A27" t="str">
        <x:v>Mistral 7B</x:v>
      </x:c>
      <x:c r="B27" s="44" t="n">
        <x:v>0.7619047619047619</x:v>
      </x:c>
      <x:c r="C27" s="44" t="n">
        <x:v>0.5142857142857142</x:v>
      </x:c>
      <x:c r="D27" s="44" t="n">
        <x:v>0.25</x:v>
      </x:c>
      <x:c r="E27" s="44" t="n">
        <x:v>0.08571428571428572</x:v>
      </x:c>
      <x:c r="F27" s="44" t="n">
        <x:v>0.9714285714285714</x:v>
      </x:c>
    </x:row>
    <x:row r="46">
      <x:c r="A46" s="22" t="str">
        <x:v>Model</x:v>
      </x:c>
      <x:c r="B46" s="22" t="str">
        <x:v>Preservation</x:v>
      </x:c>
      <x:c r="C46" s="22" t="str">
        <x:v>Rescue</x:v>
      </x:c>
    </x:row>
    <x:row r="47">
      <x:c r="A47" t="str">
        <x:v>Llama 3.1 8B</x:v>
      </x:c>
      <x:c r="B47" s="44" t="n">
        <x:v>0.6363636363636364</x:v>
      </x:c>
      <x:c r="C47" s="44" t="n">
        <x:v>0.6</x:v>
      </x:c>
    </x:row>
    <x:row r="48">
      <x:c r="A48" t="str">
        <x:v>Qwen2.5 7B</x:v>
      </x:c>
      <x:c r="B48" s="44" t="n">
        <x:v>0.9090909090909091</x:v>
      </x:c>
      <x:c r="C48" s="44" t="n">
        <x:v>0.9</x:v>
      </x:c>
    </x:row>
    <x:row r="49">
      <x:c r="A49" t="str">
        <x:v>DeepSeek 7B</x:v>
      </x:c>
      <x:c r="B49" s="44" t="n">
        <x:v>0.18181818181818182</x:v>
      </x:c>
      <x:c r="C49" s="44" t="n">
        <x:v>0.3</x:v>
      </x:c>
    </x:row>
    <x:row r="50">
      <x:c r="A50" t="str">
        <x:v>Mistral 7B</x:v>
      </x:c>
      <x:c r="B50" s="44" t="n">
        <x:v>0.6363636363636364</x:v>
      </x:c>
      <x:c r="C50" s="44" t="n">
        <x:v>0.9</x:v>
      </x:c>
    </x:row>
  </x:sheetData>
  <x:mergeCells>
    <x:mergeCell ref="A1:N1"/>
    <x:mergeCell ref="A2:N2"/>
  </x:mergeCells>
  <x:pageMargins left="0.7" right="0.7" top="0.75" bottom="0.75" header="0.3" footer="0.3"/>
  <x:drawing xmlns:r="http://schemas.openxmlformats.org/officeDocument/2006/relationships" r:id="R60ddd8b8911f4fb3"/>
</x:worksheet>
</file>